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thèse KPI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<sst xmlns="http://schemas.openxmlformats.org/spreadsheetml/2006/main" count="121" uniqueCount="85">
  <si>
    <t xml:space="preserve">Synthèse KPIs globale C6.1 → C6.6 — Maison Verlaine</t>
  </si>
  <si>
    <t xml:space="preserve">Trame T20 · J3-aprem · Posture examen : KPIs CHOISIS, pas listés exhaustivement</t>
  </si>
  <si>
    <t xml:space="preserve">  💡  Posture attendue à l'examen — slide 10 du deck soutenance</t>
  </si>
  <si>
    <t xml:space="preserve">Le programme demande explicitement : « tableau récapitulatif des KPIs CHOISIS (et non listés exhaustivement), avec valeurs réelles, cibles et interprétation ». Ce document agrège les KPIs sélectionnés tout au long du projet (T04, T08, T11, T15, T17) + ceux de C6.6 ajoutés ici. Total cohérent : 13-15 KPIs ciblés sur 6 compétences.</t>
  </si>
  <si>
    <t xml:space="preserve">  📊  Matrice synthèse KPIs choisis sur le projet</t>
  </si>
  <si>
    <t xml:space="preserve">Comp.</t>
  </si>
  <si>
    <t xml:space="preserve">KPI choisi</t>
  </si>
  <si>
    <t xml:space="preserve">Cible</t>
  </si>
  <si>
    <t xml:space="preserve">Réel à date</t>
  </si>
  <si>
    <t xml:space="preserve">Écart</t>
  </si>
  <si>
    <t xml:space="preserve">Statut</t>
  </si>
  <si>
    <t xml:space="preserve">Interprétation</t>
  </si>
  <si>
    <t xml:space="preserve">C6.1</t>
  </si>
  <si>
    <t xml:space="preserve">Taux de validation du brief reformulé</t>
  </si>
  <si>
    <t xml:space="preserve">≥ 75 %</t>
  </si>
  <si>
    <t xml:space="preserve">100 %</t>
  </si>
  <si>
    <t xml:space="preserve">—</t>
  </si>
  <si>
    <t xml:space="preserve">OK</t>
  </si>
  <si>
    <t xml:space="preserve">Brief validé par Sophie en 1 itération</t>
  </si>
  <si>
    <t xml:space="preserve">Écart d'alignement objectifs/livrables</t>
  </si>
  <si>
    <t xml:space="preserve">≤ 10 %</t>
  </si>
  <si>
    <t xml:space="preserve">8 %</t>
  </si>
  <si>
    <t xml:space="preserve">Périmètre tenu, démo COMEX 30/03 OK</t>
  </si>
  <si>
    <t xml:space="preserve">C6.2</t>
  </si>
  <si>
    <t xml:space="preserve">Nombre de technologies évaluées</t>
  </si>
  <si>
    <t xml:space="preserve">≥ 3</t>
  </si>
  <si>
    <t xml:space="preserve">3</t>
  </si>
  <si>
    <t xml:space="preserve">SHAP, LIME, Feature Importance natif évaluées</t>
  </si>
  <si>
    <t xml:space="preserve">Taux d'adéquation solution / contraintes</t>
  </si>
  <si>
    <t xml:space="preserve">≥ 90 %</t>
  </si>
  <si>
    <t xml:space="preserve">92 %</t>
  </si>
  <si>
    <t xml:space="preserve">SHAP couvre 7 contraintes sur 8</t>
  </si>
  <si>
    <t xml:space="preserve">C6.3</t>
  </si>
  <si>
    <t xml:space="preserve">Taux de respect du rétroplanning</t>
  </si>
  <si>
    <t xml:space="preserve">≥ 85 %</t>
  </si>
  <si>
    <t xml:space="preserve">5 jalons sur 5 tenus, dont COMEX 30/03</t>
  </si>
  <si>
    <t xml:space="preserve">Écart budgétaire</t>
  </si>
  <si>
    <t xml:space="preserve">+3 %</t>
  </si>
  <si>
    <t xml:space="preserve">36 k€ vs cible 35 k€</t>
  </si>
  <si>
    <t xml:space="preserve">Taux de complétude du CDC</t>
  </si>
  <si>
    <t xml:space="preserve">8 rubriques signées Sophie/Mehdi/Anne</t>
  </si>
  <si>
    <t xml:space="preserve">C6.4</t>
  </si>
  <si>
    <t xml:space="preserve">Taux de complétude du dataset</t>
  </si>
  <si>
    <t xml:space="preserve">≥ 95 %</t>
  </si>
  <si>
    <t xml:space="preserve">96,3 %</t>
  </si>
  <si>
    <t xml:space="preserve">Audit Léa 24/03 — bon score</t>
  </si>
  <si>
    <t xml:space="preserve">Recall sur jeu test</t>
  </si>
  <si>
    <t xml:space="preserve">≥ 70 %</t>
  </si>
  <si>
    <t xml:space="preserve">73 %</t>
  </si>
  <si>
    <t xml:space="preserve">Validation temporelle 9 mois</t>
  </si>
  <si>
    <t xml:space="preserve">Taux de scores ignorés conseillère</t>
  </si>
  <si>
    <t xml:space="preserve">≥ 15 %</t>
  </si>
  <si>
    <t xml:space="preserve">22 %</t>
  </si>
  <si>
    <t xml:space="preserve">On reste hors article 22 RGPD</t>
  </si>
  <si>
    <t xml:space="preserve">Suivi budget consommé</t>
  </si>
  <si>
    <t xml:space="preserve">≤ 100 %</t>
  </si>
  <si>
    <t xml:space="preserve">78 %</t>
  </si>
  <si>
    <t xml:space="preserve">Maîtrise CG validée octobre</t>
  </si>
  <si>
    <t xml:space="preserve">C6.5</t>
  </si>
  <si>
    <t xml:space="preserve">Score satisfaction post-restitution</t>
  </si>
  <si>
    <t xml:space="preserve">≥ 4 / 5</t>
  </si>
  <si>
    <t xml:space="preserve">4,2 / 5</t>
  </si>
  <si>
    <t xml:space="preserve">Note 2p envoyée 15/04 — 8 destinataires</t>
  </si>
  <si>
    <t xml:space="preserve">Taux d'adoption à 30 jours (5 boutiques)</t>
  </si>
  <si>
    <t xml:space="preserve">65 %</t>
  </si>
  <si>
    <t xml:space="preserve">ATTENTION</t>
  </si>
  <si>
    <t xml:space="preserve">Lyon/Bordeaux OK · Marais/Lille en retrait</t>
  </si>
  <si>
    <t xml:space="preserve">C6.6</t>
  </si>
  <si>
    <t xml:space="preserve">Taux d'avancement réel vs planifié</t>
  </si>
  <si>
    <t xml:space="preserve">94 %</t>
  </si>
  <si>
    <t xml:space="preserve">Pilote 5 boutiques + dashboard livrés</t>
  </si>
  <si>
    <t xml:space="preserve">Taux de participation services</t>
  </si>
  <si>
    <t xml:space="preserve">≥ 80 %</t>
  </si>
  <si>
    <t xml:space="preserve">82 %</t>
  </si>
  <si>
    <t xml:space="preserve">DPO + DSI + Marketing présents COPIL</t>
  </si>
  <si>
    <t xml:space="preserve">Taux de livrables acceptés sans réserve</t>
  </si>
  <si>
    <t xml:space="preserve">13/13 livrables phase 1+2 acceptés</t>
  </si>
  <si>
    <t xml:space="preserve">  💡  Lecture globale — pour le slide 10</t>
  </si>
  <si>
    <t xml:space="preserve">Sur le projet Verlaine, 16 KPIs choisis répartis sur les 6 compétences C6.1 à C6.6, mesurés à 6 mois post-démarrage. 15/16 au vert, 1/16 en ATTENTION (adoption Paris Marais et Lille). Lecture pour la soutenance : le projet est dans la trajectoire prévue, avec un seul point de vigilance opérationnel (qui sera abordé en clôture de présentation). Posture C6.6 démontrée : pilotage maîtrisé, alignement sponsor maintenu sur 6 mois, et capacité à identifier honnêtement le point qui n'est pas encore résolu (adoption boutiques jeunes) plutôt que de le passer sous silence.</t>
  </si>
  <si>
    <t xml:space="preserve">  📈  Synthèse statistique de la performance KPIs</t>
  </si>
  <si>
    <t xml:space="preserve">Nombre total de KPIs suivis</t>
  </si>
  <si>
    <t xml:space="preserve">KPIs au statut OK</t>
  </si>
  <si>
    <t xml:space="preserve">KPIs au statut ATTENTION</t>
  </si>
  <si>
    <t xml:space="preserve">KPIs à surveiller</t>
  </si>
  <si>
    <t xml:space="preserve">% KPIs au vert</t>
  </si>
</sst>
</file>

<file path=xl/styles.xml><?xml version="1.0" encoding="utf-8"?>
<styleSheet xmlns="http://schemas.openxmlformats.org/spreadsheetml/2006/main">
  <numFmts count="4">
    <numFmt numFmtId="164" formatCode="General"/>
    <numFmt numFmtId="165" formatCode="0.00%"/>
    <numFmt numFmtId="166" formatCode="General"/>
    <numFmt numFmtId="167" formatCode="0.0\ %"/>
  </numFmts>
  <fonts count="15">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i val="true"/>
      <sz val="10"/>
      <color rgb="FFFFFFFF"/>
      <name val="Arial"/>
      <family val="0"/>
      <charset val="1"/>
    </font>
    <font>
      <b val="true"/>
      <sz val="10"/>
      <color rgb="FF0E1C33"/>
      <name val="Arial"/>
      <family val="0"/>
      <charset val="1"/>
    </font>
    <font>
      <sz val="9"/>
      <color rgb="FF4A5568"/>
      <name val="Arial"/>
      <family val="0"/>
      <charset val="1"/>
    </font>
    <font>
      <b val="true"/>
      <sz val="13"/>
      <color rgb="FFFFFFFF"/>
      <name val="Arial"/>
      <family val="0"/>
      <charset val="1"/>
    </font>
    <font>
      <b val="true"/>
      <sz val="11"/>
      <color rgb="FFFFFFFF"/>
      <name val="Arial"/>
      <family val="0"/>
      <charset val="1"/>
    </font>
    <font>
      <b val="true"/>
      <sz val="12"/>
      <color rgb="FFFFFFFF"/>
      <name val="Arial"/>
      <family val="0"/>
      <charset val="1"/>
    </font>
    <font>
      <b val="true"/>
      <sz val="10"/>
      <color rgb="FF065F46"/>
      <name val="Arial"/>
      <family val="0"/>
      <charset val="1"/>
    </font>
    <font>
      <b val="true"/>
      <sz val="10"/>
      <color rgb="FFFFFFFF"/>
      <name val="Arial"/>
      <family val="0"/>
      <charset val="1"/>
    </font>
    <font>
      <sz val="10"/>
      <color rgb="FF222222"/>
      <name val="Arial"/>
      <family val="0"/>
      <charset val="1"/>
    </font>
    <font>
      <b val="true"/>
      <sz val="10"/>
      <color rgb="FF0057B8"/>
      <name val="Arial"/>
      <family val="0"/>
      <charset val="1"/>
    </font>
  </fonts>
  <fills count="18">
    <fill>
      <patternFill patternType="none"/>
    </fill>
    <fill>
      <patternFill patternType="gray125"/>
    </fill>
    <fill>
      <patternFill patternType="solid">
        <fgColor rgb="FF0E1C33"/>
        <bgColor rgb="FF222222"/>
      </patternFill>
    </fill>
    <fill>
      <patternFill patternType="solid">
        <fgColor rgb="FF00AEEF"/>
        <bgColor rgb="FF008080"/>
      </patternFill>
    </fill>
    <fill>
      <patternFill patternType="solid">
        <fgColor rgb="FFEDF2F7"/>
        <bgColor rgb="FFF7FAFC"/>
      </patternFill>
    </fill>
    <fill>
      <patternFill patternType="solid">
        <fgColor rgb="FF0057B8"/>
        <bgColor rgb="FF008080"/>
      </patternFill>
    </fill>
    <fill>
      <patternFill patternType="solid">
        <fgColor rgb="FFDBEAFE"/>
        <bgColor rgb="FFEAE6FF"/>
      </patternFill>
    </fill>
    <fill>
      <patternFill patternType="solid">
        <fgColor rgb="FFD1FAE5"/>
        <bgColor rgb="FFDCFCE7"/>
      </patternFill>
    </fill>
    <fill>
      <patternFill patternType="solid">
        <fgColor rgb="FF2ECC71"/>
        <bgColor rgb="FF339966"/>
      </patternFill>
    </fill>
    <fill>
      <patternFill patternType="solid">
        <fgColor rgb="FF8B5CF6"/>
        <bgColor rgb="FF808080"/>
      </patternFill>
    </fill>
    <fill>
      <patternFill patternType="solid">
        <fgColor rgb="FFEAE6FF"/>
        <bgColor rgb="FFDBEAFE"/>
      </patternFill>
    </fill>
    <fill>
      <patternFill patternType="solid">
        <fgColor rgb="FFCFFAFE"/>
        <bgColor rgb="FFD1FAE5"/>
      </patternFill>
    </fill>
    <fill>
      <patternFill patternType="solid">
        <fgColor rgb="FFFF6B6B"/>
        <bgColor rgb="FFFF6600"/>
      </patternFill>
    </fill>
    <fill>
      <patternFill patternType="solid">
        <fgColor rgb="FFFECACA"/>
        <bgColor rgb="FFEAE6FF"/>
      </patternFill>
    </fill>
    <fill>
      <patternFill patternType="solid">
        <fgColor rgb="FFF5B942"/>
        <bgColor rgb="FFFF9900"/>
      </patternFill>
    </fill>
    <fill>
      <patternFill patternType="solid">
        <fgColor rgb="FFFEF3C7"/>
        <bgColor rgb="FFEDF2F7"/>
      </patternFill>
    </fill>
    <fill>
      <patternFill patternType="solid">
        <fgColor rgb="FFDCFCE7"/>
        <bgColor rgb="FFD1FAE5"/>
      </patternFill>
    </fill>
    <fill>
      <patternFill patternType="solid">
        <fgColor rgb="FFF7FAFC"/>
        <bgColor rgb="FFFFFFFF"/>
      </patternFill>
    </fill>
  </fills>
  <borders count="7">
    <border diagonalUp="false" diagonalDown="false">
      <left/>
      <right/>
      <top/>
      <bottom/>
      <diagonal/>
    </border>
    <border diagonalUp="false" diagonalDown="false">
      <left style="medium">
        <color rgb="FF0057B8"/>
      </left>
      <right/>
      <top style="medium">
        <color rgb="FF0057B8"/>
      </top>
      <bottom/>
      <diagonal/>
    </border>
    <border diagonalUp="false" diagonalDown="false">
      <left style="medium">
        <color rgb="FF0057B8"/>
      </left>
      <right/>
      <top/>
      <bottom style="medium">
        <color rgb="FF0057B8"/>
      </bottom>
      <diagonal/>
    </border>
    <border diagonalUp="false" diagonalDown="false">
      <left style="thin">
        <color rgb="FF0E1C33"/>
      </left>
      <right style="thin">
        <color rgb="FF0E1C33"/>
      </right>
      <top style="thin">
        <color rgb="FF0E1C33"/>
      </top>
      <bottom style="medium">
        <color rgb="FF0E1C33"/>
      </bottom>
      <diagonal/>
    </border>
    <border diagonalUp="false" diagonalDown="false">
      <left style="thin">
        <color rgb="FF0E1C33"/>
      </left>
      <right style="thin">
        <color rgb="FF0E1C33"/>
      </right>
      <top style="thin">
        <color rgb="FF0E1C33"/>
      </top>
      <bottom/>
      <diagonal/>
    </border>
    <border diagonalUp="false" diagonalDown="false">
      <left style="thin">
        <color rgb="FFA0AEC0"/>
      </left>
      <right style="thin">
        <color rgb="FFA0AEC0"/>
      </right>
      <top style="thin">
        <color rgb="FFA0AEC0"/>
      </top>
      <bottom style="thin">
        <color rgb="FFA0AEC0"/>
      </bottom>
      <diagonal/>
    </border>
    <border diagonalUp="false" diagonalDown="false">
      <left style="thin">
        <color rgb="FFA0AEC0"/>
      </left>
      <right/>
      <top style="thin">
        <color rgb="FFA0AEC0"/>
      </top>
      <bottom style="thin">
        <color rgb="FFA0AE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1"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10" fillId="5" borderId="4" xfId="0" applyFont="true" applyBorder="true" applyAlignment="true" applyProtection="false">
      <alignment horizontal="center" vertical="center" textRotation="0" wrapText="true" indent="0" shrinkToFit="false"/>
      <protection locked="true" hidden="false"/>
    </xf>
    <xf numFmtId="164" fontId="6" fillId="6" borderId="5" xfId="0" applyFont="true" applyBorder="true" applyAlignment="true" applyProtection="false">
      <alignment horizontal="left" vertical="top" textRotation="0" wrapText="true" indent="0" shrinkToFit="false"/>
      <protection locked="true" hidden="false"/>
    </xf>
    <xf numFmtId="164" fontId="11" fillId="7" borderId="5"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7" fillId="0" borderId="5" xfId="0" applyFont="true" applyBorder="true" applyAlignment="true" applyProtection="false">
      <alignment horizontal="center" vertical="center" textRotation="0" wrapText="true" indent="0" shrinkToFit="false"/>
      <protection locked="true" hidden="false"/>
    </xf>
    <xf numFmtId="164" fontId="12" fillId="8" borderId="5" xfId="0" applyFont="true" applyBorder="true" applyAlignment="true" applyProtection="false">
      <alignment horizontal="center" vertical="center" textRotation="0" wrapText="true" indent="0" shrinkToFit="false"/>
      <protection locked="true" hidden="false"/>
    </xf>
    <xf numFmtId="164" fontId="7" fillId="0" borderId="5" xfId="0" applyFont="true" applyBorder="true" applyAlignment="true" applyProtection="false">
      <alignment horizontal="left" vertical="top" textRotation="0" wrapText="true" indent="0" shrinkToFit="false"/>
      <protection locked="true" hidden="false"/>
    </xf>
    <xf numFmtId="164" fontId="10" fillId="9" borderId="4" xfId="0" applyFont="true" applyBorder="true" applyAlignment="true" applyProtection="false">
      <alignment horizontal="center" vertical="center" textRotation="0" wrapText="true" indent="0" shrinkToFit="false"/>
      <protection locked="true" hidden="false"/>
    </xf>
    <xf numFmtId="164" fontId="6" fillId="10" borderId="5" xfId="0" applyFont="true" applyBorder="true" applyAlignment="true" applyProtection="false">
      <alignment horizontal="left" vertical="top" textRotation="0" wrapText="true" indent="0" shrinkToFit="false"/>
      <protection locked="true" hidden="false"/>
    </xf>
    <xf numFmtId="164" fontId="10" fillId="3" borderId="4" xfId="0" applyFont="true" applyBorder="true" applyAlignment="true" applyProtection="false">
      <alignment horizontal="center" vertical="center" textRotation="0" wrapText="true" indent="0" shrinkToFit="false"/>
      <protection locked="true" hidden="false"/>
    </xf>
    <xf numFmtId="164" fontId="6" fillId="11" borderId="5" xfId="0" applyFont="true" applyBorder="true" applyAlignment="true" applyProtection="false">
      <alignment horizontal="left" vertical="top" textRotation="0" wrapText="true" indent="0" shrinkToFit="false"/>
      <protection locked="true" hidden="false"/>
    </xf>
    <xf numFmtId="165" fontId="11" fillId="7" borderId="5" xfId="0" applyFont="true" applyBorder="true" applyAlignment="true" applyProtection="false">
      <alignment horizontal="center" vertical="center" textRotation="0" wrapText="true" indent="0" shrinkToFit="false"/>
      <protection locked="true" hidden="false"/>
    </xf>
    <xf numFmtId="164" fontId="10" fillId="12" borderId="4" xfId="0" applyFont="true" applyBorder="true" applyAlignment="true" applyProtection="false">
      <alignment horizontal="center" vertical="center" textRotation="0" wrapText="true" indent="0" shrinkToFit="false"/>
      <protection locked="true" hidden="false"/>
    </xf>
    <xf numFmtId="164" fontId="6" fillId="13" borderId="5" xfId="0" applyFont="true" applyBorder="true" applyAlignment="true" applyProtection="false">
      <alignment horizontal="left" vertical="top" textRotation="0" wrapText="true" indent="0" shrinkToFit="false"/>
      <protection locked="true" hidden="false"/>
    </xf>
    <xf numFmtId="164" fontId="10" fillId="14" borderId="4" xfId="0" applyFont="true" applyBorder="true" applyAlignment="true" applyProtection="false">
      <alignment horizontal="center" vertical="center" textRotation="0" wrapText="true" indent="0" shrinkToFit="false"/>
      <protection locked="true" hidden="false"/>
    </xf>
    <xf numFmtId="164" fontId="6" fillId="15" borderId="5" xfId="0" applyFont="true" applyBorder="true" applyAlignment="true" applyProtection="false">
      <alignment horizontal="left" vertical="top" textRotation="0" wrapText="true" indent="0" shrinkToFit="false"/>
      <protection locked="true" hidden="false"/>
    </xf>
    <xf numFmtId="164" fontId="6" fillId="14" borderId="5" xfId="0" applyFont="true" applyBorder="true" applyAlignment="true" applyProtection="false">
      <alignment horizontal="center" vertical="center" textRotation="0" wrapText="true" indent="0" shrinkToFit="false"/>
      <protection locked="true" hidden="false"/>
    </xf>
    <xf numFmtId="164" fontId="10" fillId="8" borderId="4" xfId="0" applyFont="true" applyBorder="true" applyAlignment="true" applyProtection="false">
      <alignment horizontal="center" vertical="center" textRotation="0" wrapText="true" indent="0" shrinkToFit="false"/>
      <protection locked="true" hidden="false"/>
    </xf>
    <xf numFmtId="164" fontId="6" fillId="16" borderId="5" xfId="0" applyFont="true" applyBorder="true" applyAlignment="true" applyProtection="false">
      <alignment horizontal="left" vertical="top" textRotation="0" wrapText="true" indent="0" shrinkToFit="false"/>
      <protection locked="true" hidden="false"/>
    </xf>
    <xf numFmtId="164" fontId="13" fillId="17" borderId="6" xfId="0" applyFont="true" applyBorder="true" applyAlignment="true" applyProtection="false">
      <alignment horizontal="left" vertical="top" textRotation="0" wrapText="true" indent="0" shrinkToFit="false"/>
      <protection locked="true" hidden="false"/>
    </xf>
    <xf numFmtId="164" fontId="8" fillId="8" borderId="0" xfId="0" applyFont="true" applyBorder="true" applyAlignment="true" applyProtection="false">
      <alignment horizontal="left" vertical="center" textRotation="0" wrapText="false" indent="1" shrinkToFit="false"/>
      <protection locked="true" hidden="false"/>
    </xf>
    <xf numFmtId="164" fontId="14" fillId="17" borderId="6" xfId="0" applyFont="true" applyBorder="true" applyAlignment="true" applyProtection="false">
      <alignment horizontal="right" vertical="center" textRotation="0" wrapText="false" indent="0" shrinkToFit="false"/>
      <protection locked="true" hidden="false"/>
    </xf>
    <xf numFmtId="166" fontId="6" fillId="0" borderId="6" xfId="0" applyFont="true" applyBorder="true" applyAlignment="true" applyProtection="false">
      <alignment horizontal="center" vertical="center" textRotation="0" wrapText="true" indent="0" shrinkToFit="false"/>
      <protection locked="true" hidden="false"/>
    </xf>
    <xf numFmtId="167" fontId="6" fillId="0" borderId="6"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5F46"/>
      <rgbColor rgb="FFA0AEC0"/>
      <rgbColor rgb="FF808080"/>
      <rgbColor rgb="FF8B5CF6"/>
      <rgbColor rgb="FF993366"/>
      <rgbColor rgb="FFFEF3C7"/>
      <rgbColor rgb="FFCFFAFE"/>
      <rgbColor rgb="FF660066"/>
      <rgbColor rgb="FFFF6B6B"/>
      <rgbColor rgb="FF0057B8"/>
      <rgbColor rgb="FFDBEAFE"/>
      <rgbColor rgb="FF000080"/>
      <rgbColor rgb="FFFF00FF"/>
      <rgbColor rgb="FFFFFF00"/>
      <rgbColor rgb="FF00FFFF"/>
      <rgbColor rgb="FF800080"/>
      <rgbColor rgb="FF800000"/>
      <rgbColor rgb="FF008080"/>
      <rgbColor rgb="FF0000FF"/>
      <rgbColor rgb="FF00AEEF"/>
      <rgbColor rgb="FFDCFCE7"/>
      <rgbColor rgb="FFD1FAE5"/>
      <rgbColor rgb="FFF7FAFC"/>
      <rgbColor rgb="FFEAE6FF"/>
      <rgbColor rgb="FFEDF2F7"/>
      <rgbColor rgb="FFCC99FF"/>
      <rgbColor rgb="FFFECACA"/>
      <rgbColor rgb="FF3366FF"/>
      <rgbColor rgb="FF2ECC71"/>
      <rgbColor rgb="FF99CC00"/>
      <rgbColor rgb="FFF5B942"/>
      <rgbColor rgb="FFFF9900"/>
      <rgbColor rgb="FFFF6600"/>
      <rgbColor rgb="FF4A5568"/>
      <rgbColor rgb="FF969696"/>
      <rgbColor rgb="FF0E1C33"/>
      <rgbColor rgb="FF339966"/>
      <rgbColor rgb="FF003300"/>
      <rgbColor rgb="FF333300"/>
      <rgbColor rgb="FF993300"/>
      <rgbColor rgb="FF993366"/>
      <rgbColor rgb="FF333399"/>
      <rgbColor rgb="FF222222"/>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5" min="3" style="0" width="14"/>
    <col collapsed="false" customWidth="true" hidden="false" outlineLevel="0" max="6" min="6" style="0" width="11"/>
    <col collapsed="false" customWidth="true" hidden="false" outlineLevel="0" max="7" min="7" style="0" width="32"/>
  </cols>
  <sheetData>
    <row r="1" customFormat="false" ht="42" hidden="false" customHeight="true" outlineLevel="0" collapsed="false">
      <c r="A1" s="1" t="s">
        <v>0</v>
      </c>
      <c r="B1" s="1"/>
      <c r="C1" s="1"/>
      <c r="D1" s="1"/>
      <c r="E1" s="1"/>
      <c r="F1" s="1"/>
      <c r="G1" s="1"/>
    </row>
    <row r="2" customFormat="false" ht="21.75" hidden="false" customHeight="true" outlineLevel="0" collapsed="false">
      <c r="A2" s="2" t="s">
        <v>1</v>
      </c>
      <c r="B2" s="2"/>
      <c r="C2" s="2"/>
      <c r="D2" s="2"/>
      <c r="E2" s="2"/>
      <c r="F2" s="2"/>
      <c r="G2" s="2"/>
    </row>
    <row r="3" customFormat="false" ht="21.75" hidden="false" customHeight="true" outlineLevel="0" collapsed="false">
      <c r="A3" s="3" t="s">
        <v>2</v>
      </c>
      <c r="B3" s="3"/>
      <c r="C3" s="3"/>
      <c r="D3" s="3"/>
      <c r="E3" s="3"/>
      <c r="F3" s="3"/>
      <c r="G3" s="3"/>
    </row>
    <row r="4" customFormat="false" ht="36" hidden="false" customHeight="true" outlineLevel="0" collapsed="false">
      <c r="A4" s="4" t="s">
        <v>3</v>
      </c>
      <c r="B4" s="4"/>
      <c r="C4" s="4"/>
      <c r="D4" s="4"/>
      <c r="E4" s="4"/>
      <c r="F4" s="4"/>
      <c r="G4" s="4"/>
    </row>
    <row r="6" customFormat="false" ht="27.75" hidden="false" customHeight="true" outlineLevel="0" collapsed="false">
      <c r="A6" s="5" t="s">
        <v>4</v>
      </c>
      <c r="B6" s="5"/>
      <c r="C6" s="5"/>
      <c r="D6" s="5"/>
      <c r="E6" s="5"/>
      <c r="F6" s="5"/>
      <c r="G6" s="5"/>
    </row>
    <row r="7" customFormat="false" ht="30" hidden="false" customHeight="true" outlineLevel="0" collapsed="false">
      <c r="A7" s="6" t="s">
        <v>5</v>
      </c>
      <c r="B7" s="6" t="s">
        <v>6</v>
      </c>
      <c r="C7" s="6" t="s">
        <v>7</v>
      </c>
      <c r="D7" s="6" t="s">
        <v>8</v>
      </c>
      <c r="E7" s="6" t="s">
        <v>9</v>
      </c>
      <c r="F7" s="6" t="s">
        <v>10</v>
      </c>
      <c r="G7" s="6" t="s">
        <v>11</v>
      </c>
    </row>
    <row r="8" customFormat="false" ht="49.5" hidden="false" customHeight="true" outlineLevel="0" collapsed="false">
      <c r="A8" s="7" t="s">
        <v>12</v>
      </c>
      <c r="B8" s="8" t="s">
        <v>13</v>
      </c>
      <c r="C8" s="9" t="s">
        <v>14</v>
      </c>
      <c r="D8" s="10" t="s">
        <v>15</v>
      </c>
      <c r="E8" s="11" t="s">
        <v>16</v>
      </c>
      <c r="F8" s="12" t="s">
        <v>17</v>
      </c>
      <c r="G8" s="13" t="s">
        <v>18</v>
      </c>
    </row>
    <row r="9" customFormat="false" ht="49.5" hidden="false" customHeight="true" outlineLevel="0" collapsed="false">
      <c r="A9" s="7"/>
      <c r="B9" s="8" t="s">
        <v>19</v>
      </c>
      <c r="C9" s="9" t="s">
        <v>20</v>
      </c>
      <c r="D9" s="10" t="s">
        <v>21</v>
      </c>
      <c r="E9" s="11" t="s">
        <v>16</v>
      </c>
      <c r="F9" s="12" t="s">
        <v>17</v>
      </c>
      <c r="G9" s="13" t="s">
        <v>22</v>
      </c>
    </row>
    <row r="10" customFormat="false" ht="49.5" hidden="false" customHeight="true" outlineLevel="0" collapsed="false">
      <c r="A10" s="14" t="s">
        <v>23</v>
      </c>
      <c r="B10" s="15" t="s">
        <v>24</v>
      </c>
      <c r="C10" s="9" t="s">
        <v>25</v>
      </c>
      <c r="D10" s="10" t="s">
        <v>26</v>
      </c>
      <c r="E10" s="11" t="s">
        <v>16</v>
      </c>
      <c r="F10" s="12" t="s">
        <v>17</v>
      </c>
      <c r="G10" s="13" t="s">
        <v>27</v>
      </c>
    </row>
    <row r="11" customFormat="false" ht="49.5" hidden="false" customHeight="true" outlineLevel="0" collapsed="false">
      <c r="A11" s="14"/>
      <c r="B11" s="15" t="s">
        <v>28</v>
      </c>
      <c r="C11" s="9" t="s">
        <v>29</v>
      </c>
      <c r="D11" s="10" t="s">
        <v>30</v>
      </c>
      <c r="E11" s="11" t="s">
        <v>16</v>
      </c>
      <c r="F11" s="12" t="s">
        <v>17</v>
      </c>
      <c r="G11" s="13" t="s">
        <v>31</v>
      </c>
    </row>
    <row r="12" customFormat="false" ht="49.5" hidden="false" customHeight="true" outlineLevel="0" collapsed="false">
      <c r="A12" s="16" t="s">
        <v>32</v>
      </c>
      <c r="B12" s="17" t="s">
        <v>33</v>
      </c>
      <c r="C12" s="9" t="s">
        <v>34</v>
      </c>
      <c r="D12" s="10" t="s">
        <v>30</v>
      </c>
      <c r="E12" s="11" t="s">
        <v>16</v>
      </c>
      <c r="F12" s="12" t="s">
        <v>17</v>
      </c>
      <c r="G12" s="13" t="s">
        <v>35</v>
      </c>
    </row>
    <row r="13" customFormat="false" ht="49.5" hidden="false" customHeight="true" outlineLevel="0" collapsed="false">
      <c r="A13" s="16"/>
      <c r="B13" s="17" t="s">
        <v>36</v>
      </c>
      <c r="C13" s="9" t="s">
        <v>20</v>
      </c>
      <c r="D13" s="10" t="s">
        <v>37</v>
      </c>
      <c r="E13" s="11" t="s">
        <v>16</v>
      </c>
      <c r="F13" s="12" t="s">
        <v>17</v>
      </c>
      <c r="G13" s="13" t="s">
        <v>38</v>
      </c>
    </row>
    <row r="14" customFormat="false" ht="49.5" hidden="false" customHeight="true" outlineLevel="0" collapsed="false">
      <c r="A14" s="16"/>
      <c r="B14" s="17" t="s">
        <v>39</v>
      </c>
      <c r="C14" s="18" t="n">
        <f aca="false">100 %</f>
        <v>1</v>
      </c>
      <c r="D14" s="10" t="s">
        <v>15</v>
      </c>
      <c r="E14" s="11" t="s">
        <v>16</v>
      </c>
      <c r="F14" s="12" t="s">
        <v>17</v>
      </c>
      <c r="G14" s="13" t="s">
        <v>40</v>
      </c>
    </row>
    <row r="15" customFormat="false" ht="49.5" hidden="false" customHeight="true" outlineLevel="0" collapsed="false">
      <c r="A15" s="19" t="s">
        <v>41</v>
      </c>
      <c r="B15" s="20" t="s">
        <v>42</v>
      </c>
      <c r="C15" s="9" t="s">
        <v>43</v>
      </c>
      <c r="D15" s="10" t="s">
        <v>44</v>
      </c>
      <c r="E15" s="11" t="s">
        <v>16</v>
      </c>
      <c r="F15" s="12" t="s">
        <v>17</v>
      </c>
      <c r="G15" s="13" t="s">
        <v>45</v>
      </c>
    </row>
    <row r="16" customFormat="false" ht="49.5" hidden="false" customHeight="true" outlineLevel="0" collapsed="false">
      <c r="A16" s="19"/>
      <c r="B16" s="20" t="s">
        <v>46</v>
      </c>
      <c r="C16" s="9" t="s">
        <v>47</v>
      </c>
      <c r="D16" s="10" t="s">
        <v>48</v>
      </c>
      <c r="E16" s="11" t="s">
        <v>16</v>
      </c>
      <c r="F16" s="12" t="s">
        <v>17</v>
      </c>
      <c r="G16" s="13" t="s">
        <v>49</v>
      </c>
    </row>
    <row r="17" customFormat="false" ht="49.5" hidden="false" customHeight="true" outlineLevel="0" collapsed="false">
      <c r="A17" s="19"/>
      <c r="B17" s="20" t="s">
        <v>50</v>
      </c>
      <c r="C17" s="9" t="s">
        <v>51</v>
      </c>
      <c r="D17" s="10" t="s">
        <v>52</v>
      </c>
      <c r="E17" s="11" t="s">
        <v>16</v>
      </c>
      <c r="F17" s="12" t="s">
        <v>17</v>
      </c>
      <c r="G17" s="13" t="s">
        <v>53</v>
      </c>
    </row>
    <row r="18" customFormat="false" ht="49.5" hidden="false" customHeight="true" outlineLevel="0" collapsed="false">
      <c r="A18" s="19"/>
      <c r="B18" s="20" t="s">
        <v>54</v>
      </c>
      <c r="C18" s="9" t="s">
        <v>55</v>
      </c>
      <c r="D18" s="10" t="s">
        <v>56</v>
      </c>
      <c r="E18" s="11" t="s">
        <v>16</v>
      </c>
      <c r="F18" s="12" t="s">
        <v>17</v>
      </c>
      <c r="G18" s="13" t="s">
        <v>57</v>
      </c>
    </row>
    <row r="19" customFormat="false" ht="49.5" hidden="false" customHeight="true" outlineLevel="0" collapsed="false">
      <c r="A19" s="21" t="s">
        <v>58</v>
      </c>
      <c r="B19" s="22" t="s">
        <v>59</v>
      </c>
      <c r="C19" s="9" t="s">
        <v>60</v>
      </c>
      <c r="D19" s="10" t="s">
        <v>61</v>
      </c>
      <c r="E19" s="11" t="s">
        <v>16</v>
      </c>
      <c r="F19" s="12" t="s">
        <v>17</v>
      </c>
      <c r="G19" s="13" t="s">
        <v>62</v>
      </c>
    </row>
    <row r="20" customFormat="false" ht="49.5" hidden="false" customHeight="true" outlineLevel="0" collapsed="false">
      <c r="A20" s="21"/>
      <c r="B20" s="22" t="s">
        <v>63</v>
      </c>
      <c r="C20" s="9" t="s">
        <v>47</v>
      </c>
      <c r="D20" s="10" t="s">
        <v>64</v>
      </c>
      <c r="E20" s="11" t="s">
        <v>16</v>
      </c>
      <c r="F20" s="23" t="s">
        <v>65</v>
      </c>
      <c r="G20" s="13" t="s">
        <v>66</v>
      </c>
    </row>
    <row r="21" customFormat="false" ht="49.5" hidden="false" customHeight="true" outlineLevel="0" collapsed="false">
      <c r="A21" s="24" t="s">
        <v>67</v>
      </c>
      <c r="B21" s="25" t="s">
        <v>68</v>
      </c>
      <c r="C21" s="9" t="s">
        <v>29</v>
      </c>
      <c r="D21" s="10" t="s">
        <v>69</v>
      </c>
      <c r="E21" s="11" t="s">
        <v>16</v>
      </c>
      <c r="F21" s="12" t="s">
        <v>17</v>
      </c>
      <c r="G21" s="13" t="s">
        <v>70</v>
      </c>
    </row>
    <row r="22" customFormat="false" ht="49.5" hidden="false" customHeight="true" outlineLevel="0" collapsed="false">
      <c r="A22" s="24"/>
      <c r="B22" s="25" t="s">
        <v>71</v>
      </c>
      <c r="C22" s="9" t="s">
        <v>72</v>
      </c>
      <c r="D22" s="10" t="s">
        <v>73</v>
      </c>
      <c r="E22" s="11" t="s">
        <v>16</v>
      </c>
      <c r="F22" s="12" t="s">
        <v>17</v>
      </c>
      <c r="G22" s="13" t="s">
        <v>74</v>
      </c>
    </row>
    <row r="23" customFormat="false" ht="49.5" hidden="false" customHeight="true" outlineLevel="0" collapsed="false">
      <c r="A23" s="24"/>
      <c r="B23" s="25" t="s">
        <v>75</v>
      </c>
      <c r="C23" s="9" t="s">
        <v>29</v>
      </c>
      <c r="D23" s="10" t="s">
        <v>15</v>
      </c>
      <c r="E23" s="11" t="s">
        <v>16</v>
      </c>
      <c r="F23" s="12" t="s">
        <v>17</v>
      </c>
      <c r="G23" s="13" t="s">
        <v>76</v>
      </c>
    </row>
    <row r="25" customFormat="false" ht="27.75" hidden="false" customHeight="true" outlineLevel="0" collapsed="false">
      <c r="A25" s="5" t="s">
        <v>77</v>
      </c>
      <c r="B25" s="5"/>
      <c r="C25" s="5"/>
      <c r="D25" s="5"/>
      <c r="E25" s="5"/>
      <c r="F25" s="5"/>
      <c r="G25" s="5"/>
    </row>
    <row r="26" customFormat="false" ht="129.75" hidden="false" customHeight="true" outlineLevel="0" collapsed="false">
      <c r="A26" s="26" t="s">
        <v>78</v>
      </c>
      <c r="B26" s="26"/>
      <c r="C26" s="26"/>
      <c r="D26" s="26"/>
      <c r="E26" s="26"/>
      <c r="F26" s="26"/>
      <c r="G26" s="26"/>
    </row>
    <row r="28" customFormat="false" ht="27.75" hidden="false" customHeight="true" outlineLevel="0" collapsed="false">
      <c r="A28" s="27" t="s">
        <v>79</v>
      </c>
      <c r="B28" s="27"/>
      <c r="C28" s="27"/>
      <c r="D28" s="27"/>
      <c r="E28" s="27"/>
      <c r="F28" s="27"/>
      <c r="G28" s="27"/>
    </row>
    <row r="29" customFormat="false" ht="21.75" hidden="false" customHeight="true" outlineLevel="0" collapsed="false">
      <c r="A29" s="28" t="s">
        <v>80</v>
      </c>
      <c r="B29" s="28"/>
      <c r="C29" s="28"/>
      <c r="D29" s="28"/>
      <c r="E29" s="28"/>
      <c r="F29" s="29" t="n">
        <f aca="false">COUNTA(B8:B23)</f>
        <v>16</v>
      </c>
      <c r="G29" s="29"/>
    </row>
    <row r="30" customFormat="false" ht="21.75" hidden="false" customHeight="true" outlineLevel="0" collapsed="false">
      <c r="A30" s="28" t="s">
        <v>81</v>
      </c>
      <c r="B30" s="28"/>
      <c r="C30" s="28"/>
      <c r="D30" s="28"/>
      <c r="E30" s="28"/>
      <c r="F30" s="29" t="n">
        <f aca="false">COUNTIF(F8:F23,"OK")</f>
        <v>15</v>
      </c>
      <c r="G30" s="29"/>
    </row>
    <row r="31" customFormat="false" ht="21.75" hidden="false" customHeight="true" outlineLevel="0" collapsed="false">
      <c r="A31" s="28" t="s">
        <v>82</v>
      </c>
      <c r="B31" s="28"/>
      <c r="C31" s="28"/>
      <c r="D31" s="28"/>
      <c r="E31" s="28"/>
      <c r="F31" s="29" t="n">
        <f aca="false">COUNTIF(F8:F23,"ATTENTION")</f>
        <v>1</v>
      </c>
      <c r="G31" s="29"/>
    </row>
    <row r="32" customFormat="false" ht="21.75" hidden="false" customHeight="true" outlineLevel="0" collapsed="false">
      <c r="A32" s="28" t="s">
        <v>83</v>
      </c>
      <c r="B32" s="28"/>
      <c r="C32" s="28"/>
      <c r="D32" s="28"/>
      <c r="E32" s="28"/>
      <c r="F32" s="29" t="n">
        <f aca="false">COUNTIF(F8:F23,"À SURVEILLER")</f>
        <v>0</v>
      </c>
      <c r="G32" s="29"/>
    </row>
    <row r="33" customFormat="false" ht="21.75" hidden="false" customHeight="true" outlineLevel="0" collapsed="false">
      <c r="A33" s="28" t="s">
        <v>84</v>
      </c>
      <c r="B33" s="28"/>
      <c r="C33" s="28"/>
      <c r="D33" s="28"/>
      <c r="E33" s="28"/>
      <c r="F33" s="30" t="n">
        <f aca="false">COUNTIF(F8:F23,"OK")/COUNTA(B8:B23)</f>
        <v>0.9375</v>
      </c>
      <c r="G33" s="30"/>
    </row>
  </sheetData>
  <mergeCells count="24">
    <mergeCell ref="A1:G1"/>
    <mergeCell ref="A2:G2"/>
    <mergeCell ref="A3:G3"/>
    <mergeCell ref="A4:G4"/>
    <mergeCell ref="A6:G6"/>
    <mergeCell ref="A8:A9"/>
    <mergeCell ref="A10:A11"/>
    <mergeCell ref="A12:A14"/>
    <mergeCell ref="A15:A18"/>
    <mergeCell ref="A19:A20"/>
    <mergeCell ref="A21:A23"/>
    <mergeCell ref="A25:G25"/>
    <mergeCell ref="A26:G26"/>
    <mergeCell ref="A28:G28"/>
    <mergeCell ref="A29:E29"/>
    <mergeCell ref="F29:G29"/>
    <mergeCell ref="A30:E30"/>
    <mergeCell ref="F30:G30"/>
    <mergeCell ref="A31:E31"/>
    <mergeCell ref="F31:G31"/>
    <mergeCell ref="A32:E32"/>
    <mergeCell ref="F32:G32"/>
    <mergeCell ref="A33:E33"/>
    <mergeCell ref="F33:G33"/>
  </mergeCells>
  <printOptions headings="false" gridLines="false" gridLinesSet="true" horizontalCentered="false" verticalCentered="false"/>
  <pageMargins left="0.4" right="0.4" top="0.5" bottom="0.5" header="0.5" footer="0.5"/>
  <pageSetup paperSize="1" scale="100" fitToWidth="1" fitToHeight="0" pageOrder="downThenOver" orientation="landscape" blackAndWhite="false" draft="false" cellComments="none" horizontalDpi="300" verticalDpi="300" copies="1"/>
  <headerFooter differentFirst="false" differentOddEven="false">
    <oddHeader>&amp;C&amp;"Arial,Bold"&amp;12&amp;K0e1c33Utopios · MA-IT Consulting</oddHeader>
    <oddFooter>&amp;L&amp;"Arial,Italic"&amp;9&amp;K4a5568C6.1 — Comprendre le besoin métier&amp;R&amp;"Arial,Italic"&amp;9&amp;K4a5568Page &amp;P /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DFD369A1AAC44894D14194C7688E9" ma:contentTypeVersion="11" ma:contentTypeDescription="Crée un document." ma:contentTypeScope="" ma:versionID="cf49c3de8148c8cc546756f07c645c21">
  <xsd:schema xmlns:xsd="http://www.w3.org/2001/XMLSchema" xmlns:xs="http://www.w3.org/2001/XMLSchema" xmlns:p="http://schemas.microsoft.com/office/2006/metadata/properties" xmlns:ns2="3c2bf3aa-a91c-4b6f-b8ca-d89e5279fe2a" xmlns:ns3="e425dd83-799c-4ff9-a9a6-f6a8064637e1" targetNamespace="http://schemas.microsoft.com/office/2006/metadata/properties" ma:root="true" ma:fieldsID="175034be094e24b6f4ed2934660117f3" ns2:_="" ns3:_="">
    <xsd:import namespace="3c2bf3aa-a91c-4b6f-b8ca-d89e5279fe2a"/>
    <xsd:import namespace="e425dd83-799c-4ff9-a9a6-f6a806463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2bf3aa-a91c-4b6f-b8ca-d89e5279f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d4b6e4fd-4af2-4f07-b7d1-18266e58562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425dd83-799c-4ff9-a9a6-f6a8064637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86b3eb-60d2-4154-b03c-a4c7679995e8}" ma:internalName="TaxCatchAll" ma:showField="CatchAllData" ma:web="e425dd83-799c-4ff9-a9a6-f6a806463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2bf3aa-a91c-4b6f-b8ca-d89e5279fe2a">
      <Terms xmlns="http://schemas.microsoft.com/office/infopath/2007/PartnerControls"/>
    </lcf76f155ced4ddcb4097134ff3c332f>
    <TaxCatchAll xmlns="e425dd83-799c-4ff9-a9a6-f6a8064637e1" xsi:nil="true"/>
  </documentManagement>
</p:properties>
</file>

<file path=customXml/itemProps1.xml><?xml version="1.0" encoding="utf-8"?>
<ds:datastoreItem xmlns:ds="http://schemas.openxmlformats.org/officeDocument/2006/customXml" ds:itemID="{E9C8A75D-90B3-4D4A-A6AE-C1966FC1CF73}"/>
</file>

<file path=customXml/itemProps2.xml><?xml version="1.0" encoding="utf-8"?>
<ds:datastoreItem xmlns:ds="http://schemas.openxmlformats.org/officeDocument/2006/customXml" ds:itemID="{453E4322-D8A5-4FE6-B166-EF26A90E8A7B}"/>
</file>

<file path=customXml/itemProps3.xml><?xml version="1.0" encoding="utf-8"?>
<ds:datastoreItem xmlns:ds="http://schemas.openxmlformats.org/officeDocument/2006/customXml" ds:itemID="{279E3303-7342-40CD-949B-166E9E6DDD1C}"/>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2026-05-10T16:26:20Z</dcterms:created>
  <dcterms:modified xsi:type="dcterms:W3CDTF">2026-05-10T16:26:20Z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0x010100913DFD369A1AAC44894D14194C7688E9</vt:lpwstr>
  </property>
</Properties>
</file>