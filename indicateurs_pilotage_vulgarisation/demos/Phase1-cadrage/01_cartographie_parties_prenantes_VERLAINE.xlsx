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Inventaire" sheetId="2" state="visible" r:id="rId4"/>
    <sheet name="Matrice pouvoir x intérêt" sheetId="3" state="visible" r:id="rId5"/>
    <sheet name="Plan communic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<sst xmlns="http://schemas.openxmlformats.org/spreadsheetml/2006/main" count="214" uniqueCount="186">
  <si>
    <t xml:space="preserve">Cartographie des parties prenantes</t>
  </si>
  <si>
    <t xml:space="preserve">Outil de cadrage projet data — Compétence C6.1 / C6.6</t>
  </si>
  <si>
    <t xml:space="preserve">MODE D'EMPLOI</t>
  </si>
  <si>
    <t xml:space="preserve">1.</t>
  </si>
  <si>
    <t xml:space="preserve">Lister les parties prenantes</t>
  </si>
  <si>
    <t xml:space="preserve">Onglet 'Inventaire' : compléter une ligne par personne ou groupe identifié.</t>
  </si>
  <si>
    <t xml:space="preserve">2.</t>
  </si>
  <si>
    <t xml:space="preserve">Évaluer pouvoir et intérêt</t>
  </si>
  <si>
    <t xml:space="preserve">Pour chacune, noter le pouvoir (1-5) et l'intérêt (1-5) dans le projet.</t>
  </si>
  <si>
    <t xml:space="preserve">3.</t>
  </si>
  <si>
    <t xml:space="preserve">Définir la stratégie</t>
  </si>
  <si>
    <t xml:space="preserve">Selon le quadrant, choisir : Gérer de près / Maintenir satisfait / Tenir informé / Surveiller.</t>
  </si>
  <si>
    <t xml:space="preserve">4.</t>
  </si>
  <si>
    <t xml:space="preserve">Visualiser la matrice</t>
  </si>
  <si>
    <t xml:space="preserve">Onglet 'Matrice' : représentation graphique pouvoir × intérêt.</t>
  </si>
  <si>
    <t xml:space="preserve">5.</t>
  </si>
  <si>
    <t xml:space="preserve">Construire le plan de communication</t>
  </si>
  <si>
    <t xml:space="preserve">Onglet 'Plan communication' : qui, quoi, comment, fréquence.</t>
  </si>
  <si>
    <t xml:space="preserve">Cible</t>
  </si>
  <si>
    <t xml:space="preserve">Idéalement 6 à 12 parties prenantes identifiées.</t>
  </si>
  <si>
    <t xml:space="preserve">Au-delà : on est probablement trop fin.</t>
  </si>
  <si>
    <t xml:space="preserve">KPI lié</t>
  </si>
  <si>
    <t xml:space="preserve">Couverture parties prenantes = (PP identifiées et engagées) / (PP totales) × 100</t>
  </si>
  <si>
    <t xml:space="preserve">Cible &gt; 90 % en phase de cadrage.</t>
  </si>
  <si>
    <t xml:space="preserve">#</t>
  </si>
  <si>
    <t xml:space="preserve">Nom / Profil</t>
  </si>
  <si>
    <t xml:space="preserve">Service / Rôle</t>
  </si>
  <si>
    <t xml:space="preserve">Type</t>
  </si>
  <si>
    <t xml:space="preserve">Pouvoir (1-5)</t>
  </si>
  <si>
    <t xml:space="preserve">Intérêt (1-5)</t>
  </si>
  <si>
    <t xml:space="preserve">Score combiné</t>
  </si>
  <si>
    <t xml:space="preserve">Quadrant</t>
  </si>
  <si>
    <t xml:space="preserve">Stratégie recommandée</t>
  </si>
  <si>
    <t xml:space="preserve">Posture attendue</t>
  </si>
  <si>
    <t xml:space="preserve">Notes / risques</t>
  </si>
  <si>
    <t xml:space="preserve">Sophie Lefèvre</t>
  </si>
  <si>
    <t xml:space="preserve">Directrice Marketing</t>
  </si>
  <si>
    <t xml:space="preserve">Sponsor</t>
  </si>
  <si>
    <t xml:space="preserve">Q2 — Gérer de près</t>
  </si>
  <si>
    <t xml:space="preserve">Communication très fréquente, impliquer dans toutes les décisions</t>
  </si>
  <si>
    <t xml:space="preserve">Co-décideuse, co-construit la roadmap</t>
  </si>
  <si>
    <t xml:space="preserve">Pression COMEX du 30 — besoin caché politique</t>
  </si>
  <si>
    <t xml:space="preserve">Caroline Marchand</t>
  </si>
  <si>
    <t xml:space="preserve">DG Maison Verlaine</t>
  </si>
  <si>
    <t xml:space="preserve">Décideur final</t>
  </si>
  <si>
    <t xml:space="preserve">Q1 — Maintenir satisfait</t>
  </si>
  <si>
    <t xml:space="preserve">Note 1 page mensuelle, COPIL trimestriel uniquement</t>
  </si>
  <si>
    <t xml:space="preserve">Visibilité business uniquement, pas de détails techniques</t>
  </si>
  <si>
    <t xml:space="preserve">Met la pression sur Sophie ; à séduire avec ROI clair</t>
  </si>
  <si>
    <t xml:space="preserve">Karim Benali</t>
  </si>
  <si>
    <t xml:space="preserve">Responsable CRM</t>
  </si>
  <si>
    <t xml:space="preserve">Propriétaire données</t>
  </si>
  <si>
    <t xml:space="preserve">Réunions hebdo, accès complet aux données via lui</t>
  </si>
  <si>
    <t xml:space="preserve">Partenaire technique principal, point de contact data</t>
  </si>
  <si>
    <t xml:space="preserve">Surchargé sur autres projets, planifier en avance</t>
  </si>
  <si>
    <t xml:space="preserve">Léa Dupuis</t>
  </si>
  <si>
    <t xml:space="preserve">Data analyst CRM</t>
  </si>
  <si>
    <t xml:space="preserve">Contributeur opérationnel</t>
  </si>
  <si>
    <t xml:space="preserve">Q4 — Tenir informé</t>
  </si>
  <si>
    <t xml:space="preserve">Travail quotidien, ateliers data, formation</t>
  </si>
  <si>
    <t xml:space="preserve">Membre de l'équipe projet à temps partiel</t>
  </si>
  <si>
    <t xml:space="preserve">Risque de surcharge si projet sous-staffé</t>
  </si>
  <si>
    <t xml:space="preserve">Claire Robin</t>
  </si>
  <si>
    <t xml:space="preserve">Directrice Retail</t>
  </si>
  <si>
    <t xml:space="preserve">Métier impacté</t>
  </si>
  <si>
    <t xml:space="preserve">COPIL bi-mensuel, démo régulière, co-construction des outils retail</t>
  </si>
  <si>
    <t xml:space="preserve">Sponsor secondaire, relais auprès des boutiques</t>
  </si>
  <si>
    <t xml:space="preserve">Doit sentir que le projet sert son terrain</t>
  </si>
  <si>
    <t xml:space="preserve">Vendeuses pilotes (Lyon, Bordeaux)</t>
  </si>
  <si>
    <t xml:space="preserve">Utilisateurs finaux</t>
  </si>
  <si>
    <t xml:space="preserve">Bénéficiaires</t>
  </si>
  <si>
    <t xml:space="preserve">Observation terrain, ateliers UX, formation, retours</t>
  </si>
  <si>
    <t xml:space="preserve">Source de vérité terrain, ambassadrices potentielles</t>
  </si>
  <si>
    <t xml:space="preserve">À identifier rapidement, motivation à entretenir</t>
  </si>
  <si>
    <t xml:space="preserve">Mehdi Tazi</t>
  </si>
  <si>
    <t xml:space="preserve">DSI</t>
  </si>
  <si>
    <t xml:space="preserve">Gardien technique</t>
  </si>
  <si>
    <t xml:space="preserve">Point dédié au cadrage architecture, validation sécurité</t>
  </si>
  <si>
    <t xml:space="preserve">Approbateur technique, contraintes SI</t>
  </si>
  <si>
    <t xml:space="preserve">Peut bloquer le projet sur la sécurité ou l'archi</t>
  </si>
  <si>
    <t xml:space="preserve">Anne Lopez</t>
  </si>
  <si>
    <t xml:space="preserve">DPO</t>
  </si>
  <si>
    <t xml:space="preserve">Gardien conformité</t>
  </si>
  <si>
    <t xml:space="preserve">Consultation dès le cadrage, validation à chaque jalon RGPD</t>
  </si>
  <si>
    <t xml:space="preserve">Approbateur conformité, AIPD obligatoire</t>
  </si>
  <si>
    <t xml:space="preserve">Programme fidélité = données sensibles, AIPD probable</t>
  </si>
  <si>
    <t xml:space="preserve">Achats / Finance</t>
  </si>
  <si>
    <t xml:space="preserve">Service support</t>
  </si>
  <si>
    <t xml:space="preserve">Validateur budget</t>
  </si>
  <si>
    <t xml:space="preserve">Q3 — Surveiller</t>
  </si>
  <si>
    <t xml:space="preserve">Une note de cadrage budgétaire, pas plus</t>
  </si>
  <si>
    <t xml:space="preserve">Validation administrative</t>
  </si>
  <si>
    <t xml:space="preserve">Risque de blocage sur ouverture de bons de commande</t>
  </si>
  <si>
    <t xml:space="preserve">Pauline Gomez</t>
  </si>
  <si>
    <t xml:space="preserve">Responsable communication interne</t>
  </si>
  <si>
    <t xml:space="preserve">Relais</t>
  </si>
  <si>
    <t xml:space="preserve">Newsletter mensuelle, annonces aux équipes</t>
  </si>
  <si>
    <t xml:space="preserve">Vecteur d'adoption interne</t>
  </si>
  <si>
    <t xml:space="preserve">Peut amplifier ou tuer le projet par sa comm</t>
  </si>
  <si>
    <t xml:space="preserve">2 clientes ayant churné</t>
  </si>
  <si>
    <t xml:space="preserve">Voix client</t>
  </si>
  <si>
    <t xml:space="preserve">Source de vérité externe</t>
  </si>
  <si>
    <t xml:space="preserve">Entretiens téléphoniques unitaires, pas de comm récurrente</t>
  </si>
  <si>
    <t xml:space="preserve">Source d'insights pour le diagnostic</t>
  </si>
  <si>
    <t xml:space="preserve">Difficile à recontacter, accord RGPD nécessaire</t>
  </si>
  <si>
    <t xml:space="preserve">Matrice pouvoir × intérêt</t>
  </si>
  <si>
    <t xml:space="preserve">Lecture : pouvoir vertical (haut = fort), intérêt horizontal (droite = fort)</t>
  </si>
  <si>
    <t xml:space="preserve">INTÉRÊT FAIBLE
(1-2)</t>
  </si>
  <si>
    <t xml:space="preserve">INTÉRÊT FORT
(3-5)</t>
  </si>
  <si>
    <t xml:space="preserve">POUVOIR
FORT
(3-5)</t>
  </si>
  <si>
    <t xml:space="preserve">Q1 — MAINTENIR SATISFAIT</t>
  </si>
  <si>
    <t xml:space="preserve">Q2 — GÉRER DE PRÈS</t>
  </si>
  <si>
    <t xml:space="preserve">Décideurs lointains. Communiquer l'essentiel sans surcharger. Les rendre alliés sans les saturer.</t>
  </si>
  <si>
    <t xml:space="preserve">Sponsors, COPIL. Communication régulière, implication directe. Engager activement dans les décisions.</t>
  </si>
  <si>
    <t xml:space="preserve">POUVOIR
FAIBLE
(1-2)</t>
  </si>
  <si>
    <t xml:space="preserve">Q3 — SURVEILLER</t>
  </si>
  <si>
    <t xml:space="preserve">Q4 — TENIR INFORMÉS</t>
  </si>
  <si>
    <t xml:space="preserve">Spectateurs périphériques. Les tenir informés, sans plus. Effort minimal.</t>
  </si>
  <si>
    <t xml:space="preserve">Utilisateurs métier, équipes opérationnelles. Communication fréquente, accompagnement, écoute des retours.</t>
  </si>
  <si>
    <t xml:space="preserve">Répartition des parties prenantes par quadrant</t>
  </si>
  <si>
    <t xml:space="preserve">Q2 — Gérer de près :</t>
  </si>
  <si>
    <t xml:space="preserve">Sophie Lefèvre · Karim Benali · Claire Robin · Anne Lopez (DPO)</t>
  </si>
  <si>
    <t xml:space="preserve">Q1 — Maintenir satisfait :</t>
  </si>
  <si>
    <t xml:space="preserve">Caroline Marchand (DG) · Mehdi Tazi (DSI)</t>
  </si>
  <si>
    <t xml:space="preserve">Q4 — Tenir informés :</t>
  </si>
  <si>
    <t xml:space="preserve">Léa Dupuis · Vendeuses pilotes · Pauline Gomez (Comm interne)</t>
  </si>
  <si>
    <t xml:space="preserve">Q3 — Surveiller :</t>
  </si>
  <si>
    <t xml:space="preserve">Achats/Finance · 2 clientes ayant churné</t>
  </si>
  <si>
    <t xml:space="preserve">Plan de communication</t>
  </si>
  <si>
    <t xml:space="preserve">Pour chaque partie prenante : quoi communiquer, comment, à quelle fréquence</t>
  </si>
  <si>
    <t xml:space="preserve">Partie prenante</t>
  </si>
  <si>
    <t xml:space="preserve">Audience type</t>
  </si>
  <si>
    <t xml:space="preserve">Message principal</t>
  </si>
  <si>
    <t xml:space="preserve">Canal / format</t>
  </si>
  <si>
    <t xml:space="preserve">Fréquence</t>
  </si>
  <si>
    <t xml:space="preserve">Responsable</t>
  </si>
  <si>
    <t xml:space="preserve">Indicateur de succès</t>
  </si>
  <si>
    <t xml:space="preserve">Avancement, risques, décisions à prendre</t>
  </si>
  <si>
    <t xml:space="preserve">Point hebdo 30 min + note vendredi</t>
  </si>
  <si>
    <t xml:space="preserve">Hebdomadaire</t>
  </si>
  <si>
    <t xml:space="preserve">Toi (chef de projet)</t>
  </si>
  <si>
    <t xml:space="preserve">100 % des points hebdo tenus</t>
  </si>
  <si>
    <t xml:space="preserve">DG / COMEX</t>
  </si>
  <si>
    <t xml:space="preserve">Impact business, ROI, jalons clés</t>
  </si>
  <si>
    <t xml:space="preserve">Note 1 page + slide deck</t>
  </si>
  <si>
    <t xml:space="preserve">Mensuelle</t>
  </si>
  <si>
    <t xml:space="preserve">Sophie (relayé par toi)</t>
  </si>
  <si>
    <t xml:space="preserve">Note lue avant COPIL</t>
  </si>
  <si>
    <t xml:space="preserve">Lead technique</t>
  </si>
  <si>
    <t xml:space="preserve">Architecture, dépendances, blocages data</t>
  </si>
  <si>
    <t xml:space="preserve">Stand-up + COPROJ technique</t>
  </si>
  <si>
    <t xml:space="preserve">Toi</t>
  </si>
  <si>
    <t xml:space="preserve">Aucun blocage &gt; 5 jours non escaladé</t>
  </si>
  <si>
    <t xml:space="preserve">Équipe projet</t>
  </si>
  <si>
    <t xml:space="preserve">Tâches du sprint, blocages, prochaines étapes</t>
  </si>
  <si>
    <t xml:space="preserve">Daily 15 min + Slack</t>
  </si>
  <si>
    <t xml:space="preserve">Quotidienne</t>
  </si>
  <si>
    <t xml:space="preserve">Vélocité stable sprint après sprint</t>
  </si>
  <si>
    <t xml:space="preserve">Sponsor secondaire</t>
  </si>
  <si>
    <t xml:space="preserve">Avancées sur volet retail, démos</t>
  </si>
  <si>
    <t xml:space="preserve">COPIL bi-mensuel + démo</t>
  </si>
  <si>
    <t xml:space="preserve">Bi-mensuelle</t>
  </si>
  <si>
    <t xml:space="preserve">Présence &gt; 80 % aux COPIL</t>
  </si>
  <si>
    <t xml:space="preserve">Vendeuses pilotes</t>
  </si>
  <si>
    <t xml:space="preserve">Utilisateurs</t>
  </si>
  <si>
    <t xml:space="preserve">Avancées du projet, ateliers à venir</t>
  </si>
  <si>
    <t xml:space="preserve">Newsletter dédiée + ateliers</t>
  </si>
  <si>
    <t xml:space="preserve">Pauline + toi</t>
  </si>
  <si>
    <t xml:space="preserve">NPS atelier &gt; 8/10</t>
  </si>
  <si>
    <t xml:space="preserve">Mehdi Tazi (DSI)</t>
  </si>
  <si>
    <t xml:space="preserve">Architecture, sécurité, conformité SI</t>
  </si>
  <si>
    <t xml:space="preserve">Point dédié à chaque jalon</t>
  </si>
  <si>
    <t xml:space="preserve">Validation à chaque jalon technique</t>
  </si>
  <si>
    <t xml:space="preserve">Anne Lopez (DPO)</t>
  </si>
  <si>
    <t xml:space="preserve">AIPD, base légale, registre</t>
  </si>
  <si>
    <t xml:space="preserve">Réunion + livrables RGPD</t>
  </si>
  <si>
    <t xml:space="preserve">À chaque jalon</t>
  </si>
  <si>
    <t xml:space="preserve">AIPD validée avant phase 2</t>
  </si>
  <si>
    <t xml:space="preserve">Engagement budgétaire</t>
  </si>
  <si>
    <t xml:space="preserve">Note de cadrage budgétaire</t>
  </si>
  <si>
    <t xml:space="preserve">À chaque tranche</t>
  </si>
  <si>
    <t xml:space="preserve">Bons de commande émis sous 7 jours</t>
  </si>
  <si>
    <t xml:space="preserve">Relais comm</t>
  </si>
  <si>
    <t xml:space="preserve">Messages clés à diffuser</t>
  </si>
  <si>
    <t xml:space="preserve">Brief 30 min + supports</t>
  </si>
  <si>
    <t xml:space="preserve">Newsletter envoyée à temps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</si>
</sst>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E1C33"/>
      <name val="Arial"/>
      <family val="0"/>
      <charset val="1"/>
    </font>
    <font>
      <i val="true"/>
      <sz val="11"/>
      <color rgb="FF8A9BB4"/>
      <name val="Arial"/>
      <family val="0"/>
      <charset val="1"/>
    </font>
    <font>
      <b val="true"/>
      <sz val="12"/>
      <color rgb="FF0057B8"/>
      <name val="Arial"/>
      <family val="0"/>
      <charset val="1"/>
    </font>
    <font>
      <b val="true"/>
      <sz val="10"/>
      <color rgb="FF00AEE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10"/>
      <color rgb="FF0E1C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E1C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0057B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4F7FB"/>
        <bgColor rgb="FFFFFFFF"/>
      </patternFill>
    </fill>
    <fill>
      <patternFill patternType="solid">
        <fgColor rgb="FF0E1C33"/>
        <bgColor rgb="FF003300"/>
      </patternFill>
    </fill>
    <fill>
      <patternFill patternType="solid">
        <fgColor rgb="FF0057B8"/>
        <bgColor rgb="FF008080"/>
      </patternFill>
    </fill>
    <fill>
      <patternFill patternType="solid">
        <fgColor rgb="FF00AEEF"/>
        <bgColor rgb="FF008080"/>
      </patternFill>
    </fill>
    <fill>
      <patternFill patternType="solid">
        <fgColor rgb="FFF5B942"/>
        <bgColor rgb="FFFF9900"/>
      </patternFill>
    </fill>
    <fill>
      <patternFill patternType="solid">
        <fgColor rgb="FF2ECC71"/>
        <bgColor rgb="FF5FCDF5"/>
      </patternFill>
    </fill>
    <fill>
      <patternFill patternType="solid">
        <fgColor rgb="FF8B5CF6"/>
        <bgColor rgb="FF9999FF"/>
      </patternFill>
    </fill>
    <fill>
      <patternFill patternType="solid">
        <fgColor rgb="FFFF6B6B"/>
        <bgColor rgb="FFFF6600"/>
      </patternFill>
    </fill>
    <fill>
      <patternFill patternType="solid">
        <fgColor rgb="FF8A9BB4"/>
        <bgColor rgb="FF9999FF"/>
      </patternFill>
    </fill>
    <fill>
      <patternFill patternType="solid">
        <fgColor rgb="FF5FCDF5"/>
        <bgColor rgb="FF99CCFF"/>
      </patternFill>
    </fill>
    <fill>
      <patternFill patternType="solid">
        <fgColor rgb="FFDCE9F8"/>
        <bgColor rgb="FFC7EBFA"/>
      </patternFill>
    </fill>
    <fill>
      <patternFill patternType="solid">
        <fgColor rgb="FFC7EBFA"/>
        <bgColor rgb="FFDCE9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CE8"/>
      </left>
      <right style="thin">
        <color rgb="FFD4DCE8"/>
      </right>
      <top style="thin">
        <color rgb="FFD4DCE8"/>
      </top>
      <bottom style="thin">
        <color rgb="FFD4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CCC"/>
        </patternFill>
      </fill>
    </dxf>
    <dxf>
      <fill>
        <patternFill>
          <bgColor rgb="FFFFE6B3"/>
        </patternFill>
      </fill>
    </dxf>
    <dxf>
      <fill>
        <patternFill>
          <bgColor rgb="FFD4F4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C7EBFA"/>
      <rgbColor rgb="FF660066"/>
      <rgbColor rgb="FFFF6B6B"/>
      <rgbColor rgb="FF0057B8"/>
      <rgbColor rgb="FFD4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DCE9F8"/>
      <rgbColor rgb="FFD4F4DD"/>
      <rgbColor rgb="FFFFE6B3"/>
      <rgbColor rgb="FF99CCFF"/>
      <rgbColor rgb="FFFF99CC"/>
      <rgbColor rgb="FFCC99FF"/>
      <rgbColor rgb="FFFFCCCC"/>
      <rgbColor rgb="FF3366FF"/>
      <rgbColor rgb="FF5FCDF5"/>
      <rgbColor rgb="FF99CC00"/>
      <rgbColor rgb="FFF5B942"/>
      <rgbColor rgb="FFFF9900"/>
      <rgbColor rgb="FFFF6600"/>
      <rgbColor rgb="FF8B5CF6"/>
      <rgbColor rgb="FF8A9BB4"/>
      <rgbColor rgb="FF0E1C33"/>
      <rgbColor rgb="FF2ECC7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30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21.75" hidden="false" customHeight="true" outlineLevel="0" collapsed="false">
      <c r="A6" s="4" t="s">
        <v>3</v>
      </c>
      <c r="B6" s="5" t="s">
        <v>4</v>
      </c>
      <c r="C6" s="5"/>
      <c r="D6" s="6" t="s">
        <v>5</v>
      </c>
      <c r="E6" s="6"/>
      <c r="F6" s="6"/>
    </row>
    <row r="7" customFormat="false" ht="21.75" hidden="false" customHeight="true" outlineLevel="0" collapsed="false">
      <c r="A7" s="4" t="s">
        <v>6</v>
      </c>
      <c r="B7" s="5" t="s">
        <v>7</v>
      </c>
      <c r="C7" s="5"/>
      <c r="D7" s="6" t="s">
        <v>8</v>
      </c>
      <c r="E7" s="6"/>
      <c r="F7" s="6"/>
    </row>
    <row r="8" customFormat="false" ht="21.75" hidden="false" customHeight="true" outlineLevel="0" collapsed="false">
      <c r="A8" s="4" t="s">
        <v>9</v>
      </c>
      <c r="B8" s="5" t="s">
        <v>10</v>
      </c>
      <c r="C8" s="5"/>
      <c r="D8" s="6" t="s">
        <v>11</v>
      </c>
      <c r="E8" s="6"/>
      <c r="F8" s="6"/>
    </row>
    <row r="9" customFormat="false" ht="21.75" hidden="false" customHeight="true" outlineLevel="0" collapsed="false">
      <c r="A9" s="4" t="s">
        <v>12</v>
      </c>
      <c r="B9" s="5" t="s">
        <v>13</v>
      </c>
      <c r="C9" s="5"/>
      <c r="D9" s="6" t="s">
        <v>14</v>
      </c>
      <c r="E9" s="6"/>
      <c r="F9" s="6"/>
    </row>
    <row r="10" customFormat="false" ht="21.75" hidden="false" customHeight="true" outlineLevel="0" collapsed="false">
      <c r="A10" s="4" t="s">
        <v>15</v>
      </c>
      <c r="B10" s="5" t="s">
        <v>16</v>
      </c>
      <c r="C10" s="5"/>
      <c r="D10" s="6" t="s">
        <v>17</v>
      </c>
      <c r="E10" s="6"/>
      <c r="F10" s="6"/>
    </row>
    <row r="11" customFormat="false" ht="21.75" hidden="false" customHeight="true" outlineLevel="0" collapsed="false">
      <c r="A11" s="4"/>
      <c r="B11" s="5"/>
      <c r="C11" s="5"/>
      <c r="D11" s="6"/>
      <c r="E11" s="6"/>
      <c r="F11" s="6"/>
    </row>
    <row r="12" customFormat="false" ht="21.75" hidden="false" customHeight="true" outlineLevel="0" collapsed="false">
      <c r="A12" s="4" t="s">
        <v>18</v>
      </c>
      <c r="B12" s="5" t="s">
        <v>19</v>
      </c>
      <c r="C12" s="5"/>
      <c r="D12" s="6" t="s">
        <v>20</v>
      </c>
      <c r="E12" s="6"/>
      <c r="F12" s="6"/>
    </row>
    <row r="13" customFormat="false" ht="21.75" hidden="false" customHeight="true" outlineLevel="0" collapsed="false">
      <c r="A13" s="4" t="s">
        <v>21</v>
      </c>
      <c r="B13" s="5" t="s">
        <v>22</v>
      </c>
      <c r="C13" s="5"/>
      <c r="D13" s="6" t="s">
        <v>23</v>
      </c>
      <c r="E13" s="6"/>
      <c r="F13" s="6"/>
    </row>
  </sheetData>
  <mergeCells count="19">
    <mergeCell ref="A1:F1"/>
    <mergeCell ref="A2:F2"/>
    <mergeCell ref="A4:F4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22"/>
    <col collapsed="false" customWidth="true" hidden="false" outlineLevel="0" max="7" min="5" style="0" width="12"/>
    <col collapsed="false" customWidth="true" hidden="false" outlineLevel="0" max="8" min="8" style="0" width="22"/>
    <col collapsed="false" customWidth="true" hidden="false" outlineLevel="0" max="9" min="9" style="0" width="36"/>
    <col collapsed="false" customWidth="true" hidden="false" outlineLevel="0" max="10" min="10" style="0" width="30"/>
    <col collapsed="false" customWidth="true" hidden="false" outlineLevel="0" max="11" min="11" style="0" width="36"/>
  </cols>
  <sheetData>
    <row r="1" customFormat="false" ht="37.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</row>
    <row r="2" customFormat="false" ht="55.5" hidden="false" customHeight="true" outlineLevel="0" collapsed="false">
      <c r="A2" s="8" t="n">
        <v>1</v>
      </c>
      <c r="B2" s="9" t="s">
        <v>35</v>
      </c>
      <c r="C2" s="9" t="s">
        <v>36</v>
      </c>
      <c r="D2" s="10" t="s">
        <v>37</v>
      </c>
      <c r="E2" s="9" t="n">
        <v>5</v>
      </c>
      <c r="F2" s="9" t="n">
        <v>5</v>
      </c>
      <c r="G2" s="11" t="n">
        <f aca="false">IF(AND(ISNUMBER(E2),ISNUMBER(F2)),E2*F2,"")</f>
        <v>25</v>
      </c>
      <c r="H2" s="9" t="s">
        <v>38</v>
      </c>
      <c r="I2" s="9" t="s">
        <v>39</v>
      </c>
      <c r="J2" s="9" t="s">
        <v>40</v>
      </c>
      <c r="K2" s="9" t="s">
        <v>41</v>
      </c>
    </row>
    <row r="3" customFormat="false" ht="55.5" hidden="false" customHeight="true" outlineLevel="0" collapsed="false">
      <c r="A3" s="8" t="n">
        <v>2</v>
      </c>
      <c r="B3" s="9" t="s">
        <v>42</v>
      </c>
      <c r="C3" s="9" t="s">
        <v>43</v>
      </c>
      <c r="D3" s="12" t="s">
        <v>44</v>
      </c>
      <c r="E3" s="9" t="n">
        <v>5</v>
      </c>
      <c r="F3" s="9" t="n">
        <v>2</v>
      </c>
      <c r="G3" s="11" t="n">
        <f aca="false">IF(AND(ISNUMBER(E3),ISNUMBER(F3)),E3*F3,"")</f>
        <v>10</v>
      </c>
      <c r="H3" s="9" t="s">
        <v>45</v>
      </c>
      <c r="I3" s="9" t="s">
        <v>46</v>
      </c>
      <c r="J3" s="9" t="s">
        <v>47</v>
      </c>
      <c r="K3" s="9" t="s">
        <v>48</v>
      </c>
    </row>
    <row r="4" customFormat="false" ht="55.5" hidden="false" customHeight="true" outlineLevel="0" collapsed="false">
      <c r="A4" s="8" t="n">
        <v>3</v>
      </c>
      <c r="B4" s="9" t="s">
        <v>49</v>
      </c>
      <c r="C4" s="9" t="s">
        <v>50</v>
      </c>
      <c r="D4" s="13" t="s">
        <v>51</v>
      </c>
      <c r="E4" s="9" t="n">
        <v>4</v>
      </c>
      <c r="F4" s="9" t="n">
        <v>5</v>
      </c>
      <c r="G4" s="11" t="n">
        <f aca="false">IF(AND(ISNUMBER(E4),ISNUMBER(F4)),E4*F4,"")</f>
        <v>20</v>
      </c>
      <c r="H4" s="9" t="s">
        <v>38</v>
      </c>
      <c r="I4" s="9" t="s">
        <v>52</v>
      </c>
      <c r="J4" s="9" t="s">
        <v>53</v>
      </c>
      <c r="K4" s="9" t="s">
        <v>54</v>
      </c>
    </row>
    <row r="5" customFormat="false" ht="55.5" hidden="false" customHeight="true" outlineLevel="0" collapsed="false">
      <c r="A5" s="8" t="n">
        <v>4</v>
      </c>
      <c r="B5" s="9" t="s">
        <v>55</v>
      </c>
      <c r="C5" s="9" t="s">
        <v>56</v>
      </c>
      <c r="D5" s="13" t="s">
        <v>57</v>
      </c>
      <c r="E5" s="9" t="n">
        <v>2</v>
      </c>
      <c r="F5" s="9" t="n">
        <v>5</v>
      </c>
      <c r="G5" s="11" t="n">
        <f aca="false">IF(AND(ISNUMBER(E5),ISNUMBER(F5)),E5*F5,"")</f>
        <v>10</v>
      </c>
      <c r="H5" s="9" t="s">
        <v>58</v>
      </c>
      <c r="I5" s="9" t="s">
        <v>59</v>
      </c>
      <c r="J5" s="9" t="s">
        <v>60</v>
      </c>
      <c r="K5" s="9" t="s">
        <v>61</v>
      </c>
    </row>
    <row r="6" customFormat="false" ht="55.5" hidden="false" customHeight="true" outlineLevel="0" collapsed="false">
      <c r="A6" s="8" t="n">
        <v>5</v>
      </c>
      <c r="B6" s="9" t="s">
        <v>62</v>
      </c>
      <c r="C6" s="9" t="s">
        <v>63</v>
      </c>
      <c r="D6" s="14" t="s">
        <v>64</v>
      </c>
      <c r="E6" s="9" t="n">
        <v>4</v>
      </c>
      <c r="F6" s="9" t="n">
        <v>4</v>
      </c>
      <c r="G6" s="11" t="n">
        <f aca="false">IF(AND(ISNUMBER(E6),ISNUMBER(F6)),E6*F6,"")</f>
        <v>16</v>
      </c>
      <c r="H6" s="9" t="s">
        <v>38</v>
      </c>
      <c r="I6" s="9" t="s">
        <v>65</v>
      </c>
      <c r="J6" s="9" t="s">
        <v>66</v>
      </c>
      <c r="K6" s="9" t="s">
        <v>67</v>
      </c>
    </row>
    <row r="7" customFormat="false" ht="55.5" hidden="false" customHeight="true" outlineLevel="0" collapsed="false">
      <c r="A7" s="8" t="n">
        <v>6</v>
      </c>
      <c r="B7" s="9" t="s">
        <v>68</v>
      </c>
      <c r="C7" s="9" t="s">
        <v>69</v>
      </c>
      <c r="D7" s="15" t="s">
        <v>70</v>
      </c>
      <c r="E7" s="9" t="n">
        <v>1</v>
      </c>
      <c r="F7" s="9" t="n">
        <v>5</v>
      </c>
      <c r="G7" s="11" t="n">
        <f aca="false">IF(AND(ISNUMBER(E7),ISNUMBER(F7)),E7*F7,"")</f>
        <v>5</v>
      </c>
      <c r="H7" s="9" t="s">
        <v>58</v>
      </c>
      <c r="I7" s="9" t="s">
        <v>71</v>
      </c>
      <c r="J7" s="9" t="s">
        <v>72</v>
      </c>
      <c r="K7" s="9" t="s">
        <v>73</v>
      </c>
    </row>
    <row r="8" customFormat="false" ht="55.5" hidden="false" customHeight="true" outlineLevel="0" collapsed="false">
      <c r="A8" s="8" t="n">
        <v>7</v>
      </c>
      <c r="B8" s="9" t="s">
        <v>74</v>
      </c>
      <c r="C8" s="9" t="s">
        <v>75</v>
      </c>
      <c r="D8" s="16" t="s">
        <v>76</v>
      </c>
      <c r="E8" s="9" t="n">
        <v>4</v>
      </c>
      <c r="F8" s="9" t="n">
        <v>2</v>
      </c>
      <c r="G8" s="11" t="n">
        <f aca="false">IF(AND(ISNUMBER(E8),ISNUMBER(F8)),E8*F8,"")</f>
        <v>8</v>
      </c>
      <c r="H8" s="9" t="s">
        <v>45</v>
      </c>
      <c r="I8" s="9" t="s">
        <v>77</v>
      </c>
      <c r="J8" s="9" t="s">
        <v>78</v>
      </c>
      <c r="K8" s="9" t="s">
        <v>79</v>
      </c>
    </row>
    <row r="9" customFormat="false" ht="55.5" hidden="false" customHeight="true" outlineLevel="0" collapsed="false">
      <c r="A9" s="8" t="n">
        <v>8</v>
      </c>
      <c r="B9" s="9" t="s">
        <v>80</v>
      </c>
      <c r="C9" s="9" t="s">
        <v>81</v>
      </c>
      <c r="D9" s="17" t="s">
        <v>82</v>
      </c>
      <c r="E9" s="9" t="n">
        <v>4</v>
      </c>
      <c r="F9" s="9" t="n">
        <v>3</v>
      </c>
      <c r="G9" s="11" t="n">
        <f aca="false">IF(AND(ISNUMBER(E9),ISNUMBER(F9)),E9*F9,"")</f>
        <v>12</v>
      </c>
      <c r="H9" s="9" t="s">
        <v>38</v>
      </c>
      <c r="I9" s="9" t="s">
        <v>83</v>
      </c>
      <c r="J9" s="9" t="s">
        <v>84</v>
      </c>
      <c r="K9" s="9" t="s">
        <v>85</v>
      </c>
    </row>
    <row r="10" customFormat="false" ht="55.5" hidden="false" customHeight="true" outlineLevel="0" collapsed="false">
      <c r="A10" s="8" t="n">
        <v>9</v>
      </c>
      <c r="B10" s="9" t="s">
        <v>86</v>
      </c>
      <c r="C10" s="9" t="s">
        <v>87</v>
      </c>
      <c r="D10" s="18" t="s">
        <v>88</v>
      </c>
      <c r="E10" s="9" t="n">
        <v>3</v>
      </c>
      <c r="F10" s="9" t="n">
        <v>1</v>
      </c>
      <c r="G10" s="11" t="n">
        <f aca="false">IF(AND(ISNUMBER(E10),ISNUMBER(F10)),E10*F10,"")</f>
        <v>3</v>
      </c>
      <c r="H10" s="9" t="s">
        <v>89</v>
      </c>
      <c r="I10" s="9" t="s">
        <v>90</v>
      </c>
      <c r="J10" s="9" t="s">
        <v>91</v>
      </c>
      <c r="K10" s="9" t="s">
        <v>92</v>
      </c>
    </row>
    <row r="11" customFormat="false" ht="55.5" hidden="false" customHeight="true" outlineLevel="0" collapsed="false">
      <c r="A11" s="8" t="n">
        <v>10</v>
      </c>
      <c r="B11" s="9" t="s">
        <v>93</v>
      </c>
      <c r="C11" s="9" t="s">
        <v>94</v>
      </c>
      <c r="D11" s="19" t="s">
        <v>95</v>
      </c>
      <c r="E11" s="9" t="n">
        <v>2</v>
      </c>
      <c r="F11" s="9" t="n">
        <v>3</v>
      </c>
      <c r="G11" s="11" t="n">
        <f aca="false">IF(AND(ISNUMBER(E11),ISNUMBER(F11)),E11*F11,"")</f>
        <v>6</v>
      </c>
      <c r="H11" s="9" t="s">
        <v>58</v>
      </c>
      <c r="I11" s="9" t="s">
        <v>96</v>
      </c>
      <c r="J11" s="9" t="s">
        <v>97</v>
      </c>
      <c r="K11" s="9" t="s">
        <v>98</v>
      </c>
    </row>
    <row r="12" customFormat="false" ht="55.5" hidden="false" customHeight="true" outlineLevel="0" collapsed="false">
      <c r="A12" s="8" t="n">
        <v>11</v>
      </c>
      <c r="B12" s="9" t="s">
        <v>99</v>
      </c>
      <c r="C12" s="9" t="s">
        <v>100</v>
      </c>
      <c r="D12" s="18" t="s">
        <v>101</v>
      </c>
      <c r="E12" s="9" t="n">
        <v>1</v>
      </c>
      <c r="F12" s="9" t="n">
        <v>2</v>
      </c>
      <c r="G12" s="11" t="n">
        <f aca="false">IF(AND(ISNUMBER(E12),ISNUMBER(F12)),E12*F12,"")</f>
        <v>2</v>
      </c>
      <c r="H12" s="9" t="s">
        <v>89</v>
      </c>
      <c r="I12" s="9" t="s">
        <v>102</v>
      </c>
      <c r="J12" s="9" t="s">
        <v>103</v>
      </c>
      <c r="K12" s="9" t="s">
        <v>104</v>
      </c>
    </row>
  </sheetData>
  <conditionalFormatting sqref="G2:G12">
    <cfRule type="cellIs" priority="2" operator="greaterThanOrEqual" aboveAverage="0" equalAverage="0" bottom="0" percent="0" rank="0" text="" dxfId="0">
      <formula>16</formula>
    </cfRule>
    <cfRule type="cellIs" priority="3" operator="between" aboveAverage="0" equalAverage="0" bottom="0" percent="0" rank="0" text="" dxfId="1">
      <formula>9</formula>
      <formula>15</formula>
    </cfRule>
    <cfRule type="cellIs" priority="4" operator="lessThanOrEqual" aboveAverage="0" equalAverage="0" bottom="0" percent="0" rank="0" text="" dxfId="2">
      <formula>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"/>
    <col collapsed="false" customWidth="true" hidden="false" outlineLevel="0" max="8" min="3" style="0" width="14"/>
  </cols>
  <sheetData>
    <row r="1" customFormat="false" ht="30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106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C4" s="20" t="s">
        <v>107</v>
      </c>
      <c r="D4" s="20"/>
      <c r="E4" s="20"/>
      <c r="F4" s="20" t="s">
        <v>108</v>
      </c>
      <c r="G4" s="20"/>
      <c r="H4" s="20"/>
    </row>
    <row r="5" customFormat="false" ht="15" hidden="false" customHeight="true" outlineLevel="0" collapsed="false">
      <c r="A5" s="20" t="s">
        <v>109</v>
      </c>
      <c r="C5" s="21" t="s">
        <v>110</v>
      </c>
      <c r="D5" s="21"/>
      <c r="E5" s="21"/>
      <c r="F5" s="22" t="s">
        <v>111</v>
      </c>
      <c r="G5" s="22"/>
      <c r="H5" s="22"/>
    </row>
    <row r="6" customFormat="false" ht="15" hidden="false" customHeight="true" outlineLevel="0" collapsed="false">
      <c r="A6" s="20"/>
      <c r="C6" s="23" t="s">
        <v>112</v>
      </c>
      <c r="D6" s="23"/>
      <c r="E6" s="23"/>
      <c r="F6" s="24" t="s">
        <v>113</v>
      </c>
      <c r="G6" s="24"/>
      <c r="H6" s="24"/>
    </row>
    <row r="7" customFormat="false" ht="15" hidden="false" customHeight="false" outlineLevel="0" collapsed="false">
      <c r="A7" s="20"/>
      <c r="C7" s="23"/>
      <c r="D7" s="23"/>
      <c r="E7" s="23"/>
      <c r="F7" s="24"/>
      <c r="G7" s="24"/>
      <c r="H7" s="24"/>
    </row>
    <row r="8" customFormat="false" ht="15" hidden="false" customHeight="false" outlineLevel="0" collapsed="false">
      <c r="A8" s="20"/>
      <c r="C8" s="23"/>
      <c r="D8" s="23"/>
      <c r="E8" s="23"/>
      <c r="F8" s="24"/>
      <c r="G8" s="24"/>
      <c r="H8" s="24"/>
    </row>
    <row r="9" customFormat="false" ht="15" hidden="false" customHeight="false" outlineLevel="0" collapsed="false">
      <c r="A9" s="20"/>
      <c r="C9" s="23"/>
      <c r="D9" s="23"/>
      <c r="E9" s="23"/>
      <c r="F9" s="24"/>
      <c r="G9" s="24"/>
      <c r="H9" s="24"/>
    </row>
    <row r="10" customFormat="false" ht="15" hidden="false" customHeight="false" outlineLevel="0" collapsed="false">
      <c r="A10" s="20"/>
      <c r="C10" s="23"/>
      <c r="D10" s="23"/>
      <c r="E10" s="23"/>
      <c r="F10" s="24"/>
      <c r="G10" s="24"/>
      <c r="H10" s="24"/>
    </row>
    <row r="11" customFormat="false" ht="15" hidden="false" customHeight="false" outlineLevel="0" collapsed="false">
      <c r="A11" s="20"/>
      <c r="C11" s="23"/>
      <c r="D11" s="23"/>
      <c r="E11" s="23"/>
      <c r="F11" s="24"/>
      <c r="G11" s="24"/>
      <c r="H11" s="24"/>
    </row>
    <row r="12" customFormat="false" ht="15" hidden="false" customHeight="true" outlineLevel="0" collapsed="false">
      <c r="A12" s="20" t="s">
        <v>114</v>
      </c>
      <c r="C12" s="25" t="s">
        <v>115</v>
      </c>
      <c r="D12" s="25"/>
      <c r="E12" s="25"/>
      <c r="F12" s="26" t="s">
        <v>116</v>
      </c>
      <c r="G12" s="26"/>
      <c r="H12" s="26"/>
    </row>
    <row r="13" customFormat="false" ht="15" hidden="false" customHeight="true" outlineLevel="0" collapsed="false">
      <c r="A13" s="20"/>
      <c r="C13" s="27" t="s">
        <v>117</v>
      </c>
      <c r="D13" s="27"/>
      <c r="E13" s="27"/>
      <c r="F13" s="28" t="s">
        <v>118</v>
      </c>
      <c r="G13" s="28"/>
      <c r="H13" s="28"/>
    </row>
    <row r="14" customFormat="false" ht="15" hidden="false" customHeight="false" outlineLevel="0" collapsed="false">
      <c r="A14" s="20"/>
      <c r="C14" s="27"/>
      <c r="D14" s="27"/>
      <c r="E14" s="27"/>
      <c r="F14" s="28"/>
      <c r="G14" s="28"/>
      <c r="H14" s="28"/>
    </row>
    <row r="15" customFormat="false" ht="15" hidden="false" customHeight="false" outlineLevel="0" collapsed="false">
      <c r="A15" s="20"/>
      <c r="C15" s="27"/>
      <c r="D15" s="27"/>
      <c r="E15" s="27"/>
      <c r="F15" s="28"/>
      <c r="G15" s="28"/>
      <c r="H15" s="28"/>
    </row>
    <row r="16" customFormat="false" ht="15" hidden="false" customHeight="false" outlineLevel="0" collapsed="false">
      <c r="A16" s="20"/>
      <c r="C16" s="27"/>
      <c r="D16" s="27"/>
      <c r="E16" s="27"/>
      <c r="F16" s="28"/>
      <c r="G16" s="28"/>
      <c r="H16" s="28"/>
    </row>
    <row r="17" customFormat="false" ht="15" hidden="false" customHeight="false" outlineLevel="0" collapsed="false">
      <c r="A17" s="20"/>
      <c r="C17" s="27"/>
      <c r="D17" s="27"/>
      <c r="E17" s="27"/>
      <c r="F17" s="28"/>
      <c r="G17" s="28"/>
      <c r="H17" s="28"/>
    </row>
    <row r="18" customFormat="false" ht="15" hidden="false" customHeight="false" outlineLevel="0" collapsed="false">
      <c r="A18" s="20"/>
      <c r="C18" s="27"/>
      <c r="D18" s="27"/>
      <c r="E18" s="27"/>
      <c r="F18" s="28"/>
      <c r="G18" s="28"/>
      <c r="H18" s="28"/>
    </row>
    <row r="20" customFormat="false" ht="21.75" hidden="false" customHeight="true" outlineLevel="0" collapsed="false">
      <c r="A20" s="29" t="s">
        <v>119</v>
      </c>
      <c r="B20" s="29"/>
      <c r="C20" s="29"/>
      <c r="D20" s="29"/>
      <c r="E20" s="29"/>
      <c r="F20" s="29"/>
      <c r="G20" s="29"/>
      <c r="H20" s="29"/>
    </row>
    <row r="21" customFormat="false" ht="21.75" hidden="false" customHeight="true" outlineLevel="0" collapsed="false">
      <c r="A21" s="30" t="s">
        <v>120</v>
      </c>
      <c r="B21" s="6" t="s">
        <v>121</v>
      </c>
      <c r="C21" s="6"/>
      <c r="D21" s="6"/>
      <c r="E21" s="6"/>
      <c r="F21" s="6"/>
      <c r="G21" s="6"/>
      <c r="H21" s="6"/>
    </row>
    <row r="22" customFormat="false" ht="21.75" hidden="false" customHeight="true" outlineLevel="0" collapsed="false">
      <c r="A22" s="30" t="s">
        <v>122</v>
      </c>
      <c r="B22" s="6" t="s">
        <v>123</v>
      </c>
      <c r="C22" s="6"/>
      <c r="D22" s="6"/>
      <c r="E22" s="6"/>
      <c r="F22" s="6"/>
      <c r="G22" s="6"/>
      <c r="H22" s="6"/>
    </row>
    <row r="23" customFormat="false" ht="21.75" hidden="false" customHeight="true" outlineLevel="0" collapsed="false">
      <c r="A23" s="30" t="s">
        <v>124</v>
      </c>
      <c r="B23" s="6" t="s">
        <v>125</v>
      </c>
      <c r="C23" s="6"/>
      <c r="D23" s="6"/>
      <c r="E23" s="6"/>
      <c r="F23" s="6"/>
      <c r="G23" s="6"/>
      <c r="H23" s="6"/>
    </row>
    <row r="24" customFormat="false" ht="21.75" hidden="false" customHeight="true" outlineLevel="0" collapsed="false">
      <c r="A24" s="30" t="s">
        <v>126</v>
      </c>
      <c r="B24" s="6" t="s">
        <v>127</v>
      </c>
      <c r="C24" s="6"/>
      <c r="D24" s="6"/>
      <c r="E24" s="6"/>
      <c r="F24" s="6"/>
      <c r="G24" s="6"/>
      <c r="H24" s="6"/>
    </row>
  </sheetData>
  <mergeCells count="19">
    <mergeCell ref="A1:H1"/>
    <mergeCell ref="A2:H2"/>
    <mergeCell ref="C4:E4"/>
    <mergeCell ref="F4:H4"/>
    <mergeCell ref="A5:A11"/>
    <mergeCell ref="C5:E5"/>
    <mergeCell ref="F5:H5"/>
    <mergeCell ref="C6:E11"/>
    <mergeCell ref="F6:H11"/>
    <mergeCell ref="A12:A18"/>
    <mergeCell ref="C12:E12"/>
    <mergeCell ref="F12:H12"/>
    <mergeCell ref="C13:E18"/>
    <mergeCell ref="F13:H18"/>
    <mergeCell ref="A20:H20"/>
    <mergeCell ref="B21:H21"/>
    <mergeCell ref="B22:H22"/>
    <mergeCell ref="B23:H2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6"/>
  </cols>
  <sheetData>
    <row r="1" customFormat="false" ht="30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129</v>
      </c>
      <c r="B2" s="2"/>
      <c r="C2" s="2"/>
      <c r="D2" s="2"/>
      <c r="E2" s="2"/>
      <c r="F2" s="2"/>
      <c r="G2" s="2"/>
    </row>
    <row r="4" customFormat="false" ht="37.5" hidden="false" customHeight="true" outlineLevel="0" collapsed="false">
      <c r="A4" s="7" t="s">
        <v>130</v>
      </c>
      <c r="B4" s="7" t="s">
        <v>131</v>
      </c>
      <c r="C4" s="7" t="s">
        <v>132</v>
      </c>
      <c r="D4" s="7" t="s">
        <v>133</v>
      </c>
      <c r="E4" s="7" t="s">
        <v>134</v>
      </c>
      <c r="F4" s="7" t="s">
        <v>135</v>
      </c>
      <c r="G4" s="7" t="s">
        <v>136</v>
      </c>
    </row>
    <row r="5" customFormat="false" ht="42" hidden="false" customHeight="true" outlineLevel="0" collapsed="false">
      <c r="A5" s="31" t="s">
        <v>35</v>
      </c>
      <c r="B5" s="31" t="s">
        <v>37</v>
      </c>
      <c r="C5" s="31" t="s">
        <v>137</v>
      </c>
      <c r="D5" s="31" t="s">
        <v>138</v>
      </c>
      <c r="E5" s="31" t="s">
        <v>139</v>
      </c>
      <c r="F5" s="31" t="s">
        <v>140</v>
      </c>
      <c r="G5" s="31" t="s">
        <v>141</v>
      </c>
    </row>
    <row r="6" customFormat="false" ht="42" hidden="false" customHeight="true" outlineLevel="0" collapsed="false">
      <c r="A6" s="9" t="s">
        <v>42</v>
      </c>
      <c r="B6" s="9" t="s">
        <v>142</v>
      </c>
      <c r="C6" s="9" t="s">
        <v>143</v>
      </c>
      <c r="D6" s="9" t="s">
        <v>144</v>
      </c>
      <c r="E6" s="9" t="s">
        <v>145</v>
      </c>
      <c r="F6" s="9" t="s">
        <v>146</v>
      </c>
      <c r="G6" s="9" t="s">
        <v>147</v>
      </c>
    </row>
    <row r="7" customFormat="false" ht="42" hidden="false" customHeight="true" outlineLevel="0" collapsed="false">
      <c r="A7" s="31" t="s">
        <v>49</v>
      </c>
      <c r="B7" s="31" t="s">
        <v>148</v>
      </c>
      <c r="C7" s="31" t="s">
        <v>149</v>
      </c>
      <c r="D7" s="31" t="s">
        <v>150</v>
      </c>
      <c r="E7" s="31" t="s">
        <v>139</v>
      </c>
      <c r="F7" s="31" t="s">
        <v>151</v>
      </c>
      <c r="G7" s="31" t="s">
        <v>152</v>
      </c>
    </row>
    <row r="8" customFormat="false" ht="42" hidden="false" customHeight="true" outlineLevel="0" collapsed="false">
      <c r="A8" s="9" t="s">
        <v>55</v>
      </c>
      <c r="B8" s="9" t="s">
        <v>153</v>
      </c>
      <c r="C8" s="9" t="s">
        <v>154</v>
      </c>
      <c r="D8" s="9" t="s">
        <v>155</v>
      </c>
      <c r="E8" s="9" t="s">
        <v>156</v>
      </c>
      <c r="F8" s="9" t="s">
        <v>151</v>
      </c>
      <c r="G8" s="9" t="s">
        <v>157</v>
      </c>
    </row>
    <row r="9" customFormat="false" ht="42" hidden="false" customHeight="true" outlineLevel="0" collapsed="false">
      <c r="A9" s="31" t="s">
        <v>62</v>
      </c>
      <c r="B9" s="31" t="s">
        <v>158</v>
      </c>
      <c r="C9" s="31" t="s">
        <v>159</v>
      </c>
      <c r="D9" s="31" t="s">
        <v>160</v>
      </c>
      <c r="E9" s="31" t="s">
        <v>161</v>
      </c>
      <c r="F9" s="31" t="s">
        <v>151</v>
      </c>
      <c r="G9" s="31" t="s">
        <v>162</v>
      </c>
    </row>
    <row r="10" customFormat="false" ht="42" hidden="false" customHeight="true" outlineLevel="0" collapsed="false">
      <c r="A10" s="9" t="s">
        <v>163</v>
      </c>
      <c r="B10" s="9" t="s">
        <v>164</v>
      </c>
      <c r="C10" s="9" t="s">
        <v>165</v>
      </c>
      <c r="D10" s="9" t="s">
        <v>166</v>
      </c>
      <c r="E10" s="9" t="s">
        <v>145</v>
      </c>
      <c r="F10" s="9" t="s">
        <v>167</v>
      </c>
      <c r="G10" s="9" t="s">
        <v>168</v>
      </c>
    </row>
    <row r="11" customFormat="false" ht="42" hidden="false" customHeight="true" outlineLevel="0" collapsed="false">
      <c r="A11" s="31" t="s">
        <v>169</v>
      </c>
      <c r="B11" s="31" t="s">
        <v>76</v>
      </c>
      <c r="C11" s="31" t="s">
        <v>170</v>
      </c>
      <c r="D11" s="31" t="s">
        <v>171</v>
      </c>
      <c r="E11" s="31" t="s">
        <v>161</v>
      </c>
      <c r="F11" s="31" t="s">
        <v>151</v>
      </c>
      <c r="G11" s="31" t="s">
        <v>172</v>
      </c>
    </row>
    <row r="12" customFormat="false" ht="42" hidden="false" customHeight="true" outlineLevel="0" collapsed="false">
      <c r="A12" s="9" t="s">
        <v>173</v>
      </c>
      <c r="B12" s="9" t="s">
        <v>82</v>
      </c>
      <c r="C12" s="9" t="s">
        <v>174</v>
      </c>
      <c r="D12" s="9" t="s">
        <v>175</v>
      </c>
      <c r="E12" s="9" t="s">
        <v>176</v>
      </c>
      <c r="F12" s="9" t="s">
        <v>151</v>
      </c>
      <c r="G12" s="9" t="s">
        <v>177</v>
      </c>
    </row>
    <row r="13" customFormat="false" ht="42" hidden="false" customHeight="true" outlineLevel="0" collapsed="false">
      <c r="A13" s="31" t="s">
        <v>86</v>
      </c>
      <c r="B13" s="31" t="s">
        <v>88</v>
      </c>
      <c r="C13" s="31" t="s">
        <v>178</v>
      </c>
      <c r="D13" s="31" t="s">
        <v>179</v>
      </c>
      <c r="E13" s="31" t="s">
        <v>180</v>
      </c>
      <c r="F13" s="31" t="s">
        <v>151</v>
      </c>
      <c r="G13" s="31" t="s">
        <v>181</v>
      </c>
    </row>
    <row r="14" customFormat="false" ht="42" hidden="false" customHeight="true" outlineLevel="0" collapsed="false">
      <c r="A14" s="9" t="s">
        <v>93</v>
      </c>
      <c r="B14" s="9" t="s">
        <v>182</v>
      </c>
      <c r="C14" s="9" t="s">
        <v>183</v>
      </c>
      <c r="D14" s="9" t="s">
        <v>184</v>
      </c>
      <c r="E14" s="9" t="s">
        <v>145</v>
      </c>
      <c r="F14" s="9" t="s">
        <v>151</v>
      </c>
      <c r="G14" s="9" t="s">
        <v>185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C481C544-418B-4EBD-B65B-A060DA1AFE63}"/>
</file>

<file path=customXml/itemProps2.xml><?xml version="1.0" encoding="utf-8"?>
<ds:datastoreItem xmlns:ds="http://schemas.openxmlformats.org/officeDocument/2006/customXml" ds:itemID="{7E718213-10F8-4C7C-99FA-30A6B6657A67}"/>
</file>

<file path=customXml/itemProps3.xml><?xml version="1.0" encoding="utf-8"?>
<ds:datastoreItem xmlns:ds="http://schemas.openxmlformats.org/officeDocument/2006/customXml" ds:itemID="{2D5D2B57-DA01-4793-9163-744431A65CF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2026-05-10T06:17:42Z</dcterms:created>
  <dcterms:modified xsi:type="dcterms:W3CDTF">2026-05-10T06:17:42Z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