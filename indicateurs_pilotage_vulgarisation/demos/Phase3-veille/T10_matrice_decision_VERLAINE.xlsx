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x15ac:absPath xmlns:x15ac="http://schemas.microsoft.com/office/spreadsheetml/2010/11/ac" url="/Users/mohamedaijjou/Documents/formation/pilotage-indicateur-data/1-demo-ok/phase3/Verlaine_DEMO/solutions/"/>
    </mc:Choice>
  </mc:AlternateContent>
  <xr:revisionPtr revIDLastSave="0" documentId="13_ncr:1_{22D90969-5733-DB4F-8763-D2143B37240F}" xr6:coauthVersionLast="47" xr6:coauthVersionMax="47" xr10:uidLastSave="{00000000-0000-0000-0000-000000000000}"/>
  <bookViews>
    <workbookView xWindow="0" yWindow="740" windowWidth="30240" windowHeight="18900" tabRatio="500" xr2:uid="{00000000-000D-0000-FFFF-FFFF00000000}"/>
  </bookViews>
  <sheets>
    <sheet name="Matrice décision" sheetId="1" r:id="rId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15" i="1" l="1"/>
  <c r="E14" i="1"/>
  <c r="D14" i="1"/>
  <c r="C14" i="1"/>
</calcChain>
</file>

<file path=xl/sharedStrings.xml><?xml version="1.0" encoding="utf-8"?>
<sst xmlns="http://schemas.openxmlformats.org/spreadsheetml/2006/main" count="30" uniqueCount="30">
  <si>
    <t>Matrice de décision technologique — Maison Verlaine</t>
  </si>
  <si>
    <t>Trame T10 · J2-matin · Compétence C6.2 · Choix techno : Explicabilité du modèle anti-churn premium</t>
  </si>
  <si>
    <t xml:space="preserve">  💡  Méthode et lecture</t>
  </si>
  <si>
    <t>Comparaison de 3 technologies candidates sur 7 critères pondérés. Score = note (1-5) × poids (%). Score total = somme des scores pondérés. L'option avec le score total le plus élevé est retenue, sous réserve de vérifications (coût, RGPD, acceptabilité parties prenantes).</t>
  </si>
  <si>
    <t>Critère d'évaluation</t>
  </si>
  <si>
    <t>Poids</t>
  </si>
  <si>
    <t>SHAP</t>
  </si>
  <si>
    <t>LIME</t>
  </si>
  <si>
    <t>Feature Imp.
XGBoost natif</t>
  </si>
  <si>
    <t>Commentaire</t>
  </si>
  <si>
    <t>Maturité technologique</t>
  </si>
  <si>
    <t>SHAP et XGBoost natif sont stables. LIME : maintenance ralentie depuis 2024.</t>
  </si>
  <si>
    <t>Compatibilité stack</t>
  </si>
  <si>
    <t>Toutes compatibles XGBoost. SHAP a le meilleur écosystème (MLflow, Streamlit).</t>
  </si>
  <si>
    <t>Explicabilité locale
(par cliente)</t>
  </si>
  <si>
    <t>Critère décisif : explicabilité par cliente exigée par sponsor. FeatureImp = explicabilité globale uniquement.</t>
  </si>
  <si>
    <t>Conformité RGPD
(art. 22)</t>
  </si>
  <si>
    <t>Obligation explicabilité décision automatisée. SHAP couvre, LIME partiellement, FeatureImp insuffisant.</t>
  </si>
  <si>
    <t>Coût d'usage</t>
  </si>
  <si>
    <t>Toutes open-source. Pas de différence.</t>
  </si>
  <si>
    <t>Performance / scaling</t>
  </si>
  <si>
    <t>FeatureImp instantané. SHAP TreeExplainer ~5min sur 30k. LIME ~15min.</t>
  </si>
  <si>
    <t>Communauté / documentation</t>
  </si>
  <si>
    <t>SHAP et XGBoost natif très documentés. LIME en perte de vitesse.</t>
  </si>
  <si>
    <t>SCORE PONDÉRÉ TOTAL</t>
  </si>
  <si>
    <t>Sur 5 — pondéré par les coefficients de poids</t>
  </si>
  <si>
    <t>Total des poids (doit valoir 100 %)</t>
  </si>
  <si>
    <t>Vérification : la somme des poids doit valoir 100 % pour que la moyenne pondérée soit interprétable.</t>
  </si>
  <si>
    <t xml:space="preserve">  ✅  Décision retenue</t>
  </si>
  <si>
    <t>✅ DÉCISION : SHAP retenu pour le projet Verlaine.
Score pondéré le plus élevé. La supériorité de SHAP est portée par 2 critères les plus lourds : explicabilité locale (25 %) et conformité RGPD (20 %). LIME est éliminé sur la maintenance et la conformité. Feature importance native XGBoost reste utile en complément (vue globale du modèle) mais ne peut pas être l'outil principal puisqu'elle ne permet pas d'expliquer une cliente individuelle — exigence sponsor.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</si>
</sst>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
  </numFmts>
  <fonts count="11" x14ac:knownFonts="1">
    <font>
      <sz val="11"/>
      <color theme="1"/>
      <name val="Calibri"/>
      <family val="2"/>
      <charset val="1"/>
    </font>
    <font>
      <b/>
      <sz val="20"/>
      <color rgb="FFFFFFFF"/>
      <name val="Arial"/>
      <family val="2"/>
    </font>
    <font>
      <b/>
      <i/>
      <sz val="10"/>
      <color rgb="FFFFFFFF"/>
      <name val="Arial"/>
      <family val="2"/>
    </font>
    <font>
      <b/>
      <sz val="10"/>
      <color rgb="FF0E1C33"/>
      <name val="Arial"/>
      <family val="2"/>
    </font>
    <font>
      <sz val="9"/>
      <color rgb="FF4A5568"/>
      <name val="Arial"/>
      <family val="2"/>
    </font>
    <font>
      <b/>
      <sz val="11"/>
      <color rgb="FFFFFFFF"/>
      <name val="Arial"/>
      <family val="2"/>
    </font>
    <font>
      <sz val="10"/>
      <color rgb="FF222222"/>
      <name val="Arial"/>
      <family val="2"/>
    </font>
    <font>
      <b/>
      <sz val="12"/>
      <color rgb="FF0E1C33"/>
      <name val="Arial"/>
      <family val="2"/>
    </font>
    <font>
      <b/>
      <sz val="10"/>
      <color rgb="FF0057B8"/>
      <name val="Arial"/>
      <family val="2"/>
    </font>
    <font>
      <b/>
      <sz val="13"/>
      <color rgb="FFFFFFFF"/>
      <name val="Arial"/>
      <family val="2"/>
    </font>
    <font>
      <sz val="11"/>
      <color rgb="FF166534"/>
      <name val="Arial"/>
      <family val="2"/>
    </font>
  </fonts>
  <fills count="10">
    <fill>
      <patternFill patternType="none"/>
    </fill>
    <fill>
      <patternFill patternType="gray125"/>
    </fill>
    <fill>
      <patternFill patternType="solid">
        <fgColor rgb="FF0E1C33"/>
        <bgColor rgb="FF222222"/>
      </patternFill>
    </fill>
    <fill>
      <patternFill patternType="solid">
        <fgColor rgb="FF00AEEF"/>
        <bgColor rgb="FF008080"/>
      </patternFill>
    </fill>
    <fill>
      <patternFill patternType="solid">
        <fgColor rgb="FFEDF2F7"/>
        <bgColor rgb="FFF7FAFC"/>
      </patternFill>
    </fill>
    <fill>
      <patternFill patternType="solid">
        <fgColor rgb="FFF7FAFC"/>
        <bgColor rgb="FFF8FAFC"/>
      </patternFill>
    </fill>
    <fill>
      <patternFill patternType="solid">
        <fgColor rgb="FFF8FAFC"/>
        <bgColor rgb="FFF7FAFC"/>
      </patternFill>
    </fill>
    <fill>
      <patternFill patternType="solid">
        <fgColor rgb="FFDBEAFE"/>
        <bgColor rgb="FFEDF2F7"/>
      </patternFill>
    </fill>
    <fill>
      <patternFill patternType="solid">
        <fgColor rgb="FF2ECC71"/>
        <bgColor rgb="FF339966"/>
      </patternFill>
    </fill>
    <fill>
      <patternFill patternType="solid">
        <fgColor rgb="FFD1FAE5"/>
        <bgColor rgb="FFDBEAFE"/>
      </patternFill>
    </fill>
  </fills>
  <borders count="7">
    <border>
      <left/>
      <right/>
      <top/>
      <bottom/>
      <diagonal/>
    </border>
    <border>
      <left style="medium">
        <color rgb="FF0057B8"/>
      </left>
      <right/>
      <top style="medium">
        <color rgb="FF0057B8"/>
      </top>
      <bottom/>
      <diagonal/>
    </border>
    <border>
      <left style="medium">
        <color rgb="FF0057B8"/>
      </left>
      <right/>
      <top/>
      <bottom style="medium">
        <color rgb="FF0057B8"/>
      </bottom>
      <diagonal/>
    </border>
    <border>
      <left style="thin">
        <color rgb="FF0E1C33"/>
      </left>
      <right style="thin">
        <color rgb="FF0E1C33"/>
      </right>
      <top style="thin">
        <color rgb="FF0E1C33"/>
      </top>
      <bottom style="medium">
        <color rgb="FF0E1C33"/>
      </bottom>
      <diagonal/>
    </border>
    <border>
      <left style="thin">
        <color rgb="FFA0AEC0"/>
      </left>
      <right style="thin">
        <color rgb="FFA0AEC0"/>
      </right>
      <top style="thin">
        <color rgb="FFA0AEC0"/>
      </top>
      <bottom style="thin">
        <color rgb="FFA0AEC0"/>
      </bottom>
      <diagonal/>
    </border>
    <border>
      <left style="thin">
        <color rgb="FF0E1C33"/>
      </left>
      <right/>
      <top style="thin">
        <color rgb="FF0E1C33"/>
      </top>
      <bottom style="medium">
        <color rgb="FF0E1C33"/>
      </bottom>
      <diagonal/>
    </border>
    <border>
      <left style="thin">
        <color rgb="FFA0AEC0"/>
      </left>
      <right/>
      <top style="thin">
        <color rgb="FFA0AEC0"/>
      </top>
      <bottom style="thin">
        <color rgb="FFA0AEC0"/>
      </bottom>
      <diagonal/>
    </border>
  </borders>
  <cellStyleXfs count="1">
    <xf numFmtId="0" fontId="0" fillId="0" borderId="0"/>
  </cellStyleXfs>
  <cellXfs count="21">
    <xf numFmtId="0" fontId="0" fillId="0" borderId="0" xfId="0"/>
    <xf numFmtId="0" fontId="10" fillId="9" borderId="6" xfId="0" applyFont="1" applyFill="1" applyBorder="1" applyAlignment="1">
      <alignment horizontal="left" vertical="top" wrapText="1"/>
    </xf>
    <xf numFmtId="0" fontId="9" fillId="8" borderId="0" xfId="0" applyFont="1" applyFill="1" applyAlignment="1">
      <alignment horizontal="left" vertical="center" indent="1"/>
    </xf>
    <xf numFmtId="0" fontId="4" fillId="5" borderId="6" xfId="0" applyFont="1" applyFill="1" applyBorder="1" applyAlignment="1">
      <alignment horizontal="left" vertical="top" wrapText="1"/>
    </xf>
    <xf numFmtId="0" fontId="5" fillId="2" borderId="5" xfId="0" applyFont="1" applyFill="1" applyBorder="1" applyAlignment="1">
      <alignment horizontal="right" vertical="center"/>
    </xf>
    <xf numFmtId="0" fontId="4" fillId="4" borderId="2" xfId="0" applyFont="1" applyFill="1" applyBorder="1" applyAlignment="1">
      <alignment horizontal="left" vertical="center" wrapText="1" indent="1"/>
    </xf>
    <xf numFmtId="0" fontId="3" fillId="4" borderId="1" xfId="0" applyFont="1" applyFill="1" applyBorder="1" applyAlignment="1">
      <alignment horizontal="left" vertical="center"/>
    </xf>
    <xf numFmtId="0" fontId="2" fillId="3" borderId="0" xfId="0" applyFont="1" applyFill="1" applyAlignment="1">
      <alignment horizontal="left" vertical="center" indent="1"/>
    </xf>
    <xf numFmtId="0" fontId="1" fillId="2" borderId="0" xfId="0" applyFont="1" applyFill="1" applyAlignment="1">
      <alignment horizontal="left" vertical="center" indent="1"/>
    </xf>
    <xf numFmtId="0" fontId="5" fillId="2" borderId="3" xfId="0" applyFont="1" applyFill="1" applyBorder="1" applyAlignment="1">
      <alignment horizontal="center" vertical="center" wrapText="1"/>
    </xf>
    <xf numFmtId="0" fontId="6" fillId="0" borderId="4" xfId="0" applyFont="1" applyBorder="1" applyAlignment="1">
      <alignment horizontal="left" vertical="top" wrapText="1"/>
    </xf>
    <xf numFmtId="164" fontId="3" fillId="5" borderId="4" xfId="0" applyNumberFormat="1" applyFont="1" applyFill="1" applyBorder="1" applyAlignment="1">
      <alignment horizontal="center" vertical="center" wrapText="1"/>
    </xf>
    <xf numFmtId="0" fontId="3" fillId="0" borderId="4" xfId="0" applyFont="1" applyBorder="1" applyAlignment="1">
      <alignment horizontal="center" vertical="center" wrapText="1"/>
    </xf>
    <xf numFmtId="0" fontId="4" fillId="0" borderId="4" xfId="0" applyFont="1" applyBorder="1" applyAlignment="1">
      <alignment horizontal="left" vertical="top" wrapText="1"/>
    </xf>
    <xf numFmtId="0" fontId="6" fillId="6" borderId="4" xfId="0" applyFont="1" applyFill="1" applyBorder="1" applyAlignment="1">
      <alignment horizontal="left" vertical="top" wrapText="1"/>
    </xf>
    <xf numFmtId="164" fontId="3" fillId="6" borderId="4" xfId="0" applyNumberFormat="1" applyFont="1" applyFill="1" applyBorder="1" applyAlignment="1">
      <alignment horizontal="center" vertical="center" wrapText="1"/>
    </xf>
    <xf numFmtId="0" fontId="4" fillId="6" borderId="4" xfId="0" applyFont="1" applyFill="1" applyBorder="1" applyAlignment="1">
      <alignment horizontal="left" vertical="top" wrapText="1"/>
    </xf>
    <xf numFmtId="2" fontId="7" fillId="7" borderId="3" xfId="0" applyNumberFormat="1" applyFont="1" applyFill="1" applyBorder="1" applyAlignment="1">
      <alignment horizontal="center" vertical="center" wrapText="1"/>
    </xf>
    <xf numFmtId="0" fontId="4" fillId="0" borderId="3" xfId="0" applyFont="1" applyBorder="1" applyAlignment="1">
      <alignment horizontal="left" vertical="top" wrapText="1"/>
    </xf>
    <xf numFmtId="0" fontId="8" fillId="5" borderId="4" xfId="0" applyFont="1" applyFill="1" applyBorder="1" applyAlignment="1">
      <alignment horizontal="left" vertical="center" wrapText="1"/>
    </xf>
    <xf numFmtId="164" fontId="3" fillId="0" borderId="4" xfId="0" applyNumberFormat="1" applyFont="1" applyBorder="1" applyAlignment="1">
      <alignment horizontal="center" vertical="center" wrapText="1"/>
    </xf>
  </cellXfs>
  <cellStyles count="1">
    <cellStyle name="Normal" xfId="0" builtinId="0"/>
  </cellStyles>
  <dxfs count="1">
    <dxf>
      <font>
        <b/>
        <sz val="12"/>
        <color rgb="FFFFFFFF"/>
      </font>
      <fill>
        <patternFill>
          <bgColor rgb="FF2ECC71"/>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166534"/>
      <rgbColor rgb="FF000080"/>
      <rgbColor rgb="FF808000"/>
      <rgbColor rgb="FF800080"/>
      <rgbColor rgb="FF008080"/>
      <rgbColor rgb="FFA0AEC0"/>
      <rgbColor rgb="FF808080"/>
      <rgbColor rgb="FF9999FF"/>
      <rgbColor rgb="FF993366"/>
      <rgbColor rgb="FFF8FAFC"/>
      <rgbColor rgb="FFDBEAFE"/>
      <rgbColor rgb="FF660066"/>
      <rgbColor rgb="FFFF8080"/>
      <rgbColor rgb="FF0057B8"/>
      <rgbColor rgb="FFCCCCFF"/>
      <rgbColor rgb="FF000080"/>
      <rgbColor rgb="FFFF00FF"/>
      <rgbColor rgb="FFFFFF00"/>
      <rgbColor rgb="FF00FFFF"/>
      <rgbColor rgb="FF800080"/>
      <rgbColor rgb="FF800000"/>
      <rgbColor rgb="FF008080"/>
      <rgbColor rgb="FF0000FF"/>
      <rgbColor rgb="FF00AEEF"/>
      <rgbColor rgb="FFEDF2F7"/>
      <rgbColor rgb="FFD1FAE5"/>
      <rgbColor rgb="FFF7FAFC"/>
      <rgbColor rgb="FF99CCFF"/>
      <rgbColor rgb="FFFF99CC"/>
      <rgbColor rgb="FFCC99FF"/>
      <rgbColor rgb="FFFFCC99"/>
      <rgbColor rgb="FF3366FF"/>
      <rgbColor rgb="FF2ECC71"/>
      <rgbColor rgb="FF99CC00"/>
      <rgbColor rgb="FFFFCC00"/>
      <rgbColor rgb="FFFF9900"/>
      <rgbColor rgb="FFFF6600"/>
      <rgbColor rgb="FF4A5568"/>
      <rgbColor rgb="FF969696"/>
      <rgbColor rgb="FF0E1C33"/>
      <rgbColor rgb="FF339966"/>
      <rgbColor rgb="FF003300"/>
      <rgbColor rgb="FF333300"/>
      <rgbColor rgb="FF993300"/>
      <rgbColor rgb="FF993366"/>
      <rgbColor rgb="FF333399"/>
      <rgbColor rgb="FF222222"/>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18"/>
  <sheetViews>
    <sheetView showGridLines="0" tabSelected="1" zoomScale="120" zoomScaleNormal="120" workbookViewId="0">
      <pane ySplit="7" topLeftCell="A8" activePane="bottomLeft" state="frozen"/>
      <selection pane="bottomLeft" activeCell="I14" sqref="I14"/>
    </sheetView>
  </sheetViews>
  <sheetFormatPr baseColWidth="10" defaultColWidth="8.6640625" defaultRowHeight="15" x14ac:dyDescent="0.2"/>
  <cols>
    <col min="1" max="1" width="29.33203125" bestFit="1" customWidth="1"/>
    <col min="2" max="2" width="8" customWidth="1"/>
    <col min="3" max="5" width="14" customWidth="1"/>
    <col min="6" max="6" width="52.6640625" bestFit="1" customWidth="1"/>
  </cols>
  <sheetData>
    <row r="1" spans="1:6" ht="42" customHeight="1" x14ac:dyDescent="0.2">
      <c r="A1" s="8" t="s">
        <v>0</v>
      </c>
      <c r="B1" s="8"/>
      <c r="C1" s="8"/>
      <c r="D1" s="8"/>
      <c r="E1" s="8"/>
      <c r="F1" s="8"/>
    </row>
    <row r="2" spans="1:6" ht="21.75" customHeight="1" x14ac:dyDescent="0.2">
      <c r="A2" s="7" t="s">
        <v>1</v>
      </c>
      <c r="B2" s="7"/>
      <c r="C2" s="7"/>
      <c r="D2" s="7"/>
      <c r="E2" s="7"/>
      <c r="F2" s="7"/>
    </row>
    <row r="3" spans="1:6" ht="21.75" customHeight="1" x14ac:dyDescent="0.2">
      <c r="A3" s="6" t="s">
        <v>2</v>
      </c>
      <c r="B3" s="6"/>
      <c r="C3" s="6"/>
      <c r="D3" s="6"/>
      <c r="E3" s="6"/>
      <c r="F3" s="6"/>
    </row>
    <row r="4" spans="1:6" ht="36" customHeight="1" x14ac:dyDescent="0.2">
      <c r="A4" s="5" t="s">
        <v>3</v>
      </c>
      <c r="B4" s="5"/>
      <c r="C4" s="5"/>
      <c r="D4" s="5"/>
      <c r="E4" s="5"/>
      <c r="F4" s="5"/>
    </row>
    <row r="6" spans="1:6" ht="31.5" customHeight="1" x14ac:dyDescent="0.2">
      <c r="A6" s="9" t="s">
        <v>4</v>
      </c>
      <c r="B6" s="9" t="s">
        <v>5</v>
      </c>
      <c r="C6" s="9" t="s">
        <v>6</v>
      </c>
      <c r="D6" s="9" t="s">
        <v>7</v>
      </c>
      <c r="E6" s="9" t="s">
        <v>8</v>
      </c>
      <c r="F6" s="9" t="s">
        <v>9</v>
      </c>
    </row>
    <row r="7" spans="1:6" ht="26" x14ac:dyDescent="0.2">
      <c r="A7" s="10" t="s">
        <v>10</v>
      </c>
      <c r="B7" s="11">
        <v>0.15</v>
      </c>
      <c r="C7" s="12">
        <v>5</v>
      </c>
      <c r="D7" s="12">
        <v>4</v>
      </c>
      <c r="E7" s="12">
        <v>5</v>
      </c>
      <c r="F7" s="13" t="s">
        <v>11</v>
      </c>
    </row>
    <row r="8" spans="1:6" ht="26" x14ac:dyDescent="0.2">
      <c r="A8" s="14" t="s">
        <v>12</v>
      </c>
      <c r="B8" s="15">
        <v>0.15</v>
      </c>
      <c r="C8" s="12">
        <v>5</v>
      </c>
      <c r="D8" s="12">
        <v>4</v>
      </c>
      <c r="E8" s="12">
        <v>5</v>
      </c>
      <c r="F8" s="16" t="s">
        <v>13</v>
      </c>
    </row>
    <row r="9" spans="1:6" ht="39" x14ac:dyDescent="0.2">
      <c r="A9" s="10" t="s">
        <v>14</v>
      </c>
      <c r="B9" s="11">
        <v>0.25</v>
      </c>
      <c r="C9" s="12">
        <v>5</v>
      </c>
      <c r="D9" s="12">
        <v>4</v>
      </c>
      <c r="E9" s="12">
        <v>1</v>
      </c>
      <c r="F9" s="13" t="s">
        <v>15</v>
      </c>
    </row>
    <row r="10" spans="1:6" ht="39" x14ac:dyDescent="0.2">
      <c r="A10" s="14" t="s">
        <v>16</v>
      </c>
      <c r="B10" s="15">
        <v>0.2</v>
      </c>
      <c r="C10" s="12">
        <v>5</v>
      </c>
      <c r="D10" s="12">
        <v>3</v>
      </c>
      <c r="E10" s="12">
        <v>1</v>
      </c>
      <c r="F10" s="16" t="s">
        <v>17</v>
      </c>
    </row>
    <row r="11" spans="1:6" ht="24" customHeight="1" x14ac:dyDescent="0.2">
      <c r="A11" s="10" t="s">
        <v>18</v>
      </c>
      <c r="B11" s="11">
        <v>0.1</v>
      </c>
      <c r="C11" s="12">
        <v>5</v>
      </c>
      <c r="D11" s="12">
        <v>5</v>
      </c>
      <c r="E11" s="12">
        <v>5</v>
      </c>
      <c r="F11" s="13" t="s">
        <v>19</v>
      </c>
    </row>
    <row r="12" spans="1:6" ht="24" customHeight="1" x14ac:dyDescent="0.2">
      <c r="A12" s="14" t="s">
        <v>20</v>
      </c>
      <c r="B12" s="15">
        <v>0.1</v>
      </c>
      <c r="C12" s="12">
        <v>4</v>
      </c>
      <c r="D12" s="12">
        <v>3</v>
      </c>
      <c r="E12" s="12">
        <v>5</v>
      </c>
      <c r="F12" s="16" t="s">
        <v>21</v>
      </c>
    </row>
    <row r="13" spans="1:6" ht="24" customHeight="1" x14ac:dyDescent="0.2">
      <c r="A13" s="10" t="s">
        <v>22</v>
      </c>
      <c r="B13" s="11">
        <v>0.05</v>
      </c>
      <c r="C13" s="12">
        <v>5</v>
      </c>
      <c r="D13" s="12">
        <v>3</v>
      </c>
      <c r="E13" s="12">
        <v>5</v>
      </c>
      <c r="F13" s="13" t="s">
        <v>23</v>
      </c>
    </row>
    <row r="14" spans="1:6" ht="30" customHeight="1" x14ac:dyDescent="0.2">
      <c r="A14" s="4" t="s">
        <v>24</v>
      </c>
      <c r="B14" s="4"/>
      <c r="C14" s="17">
        <f>SUMPRODUCT($B$7:$B$13,C7:C13)</f>
        <v>4.9000000000000004</v>
      </c>
      <c r="D14" s="17">
        <f>SUMPRODUCT($B$7:$B$13,D7:D13)</f>
        <v>3.7500000000000004</v>
      </c>
      <c r="E14" s="17">
        <f>SUMPRODUCT($B$7:$B$13,E7:E13)</f>
        <v>3.2</v>
      </c>
      <c r="F14" s="18" t="s">
        <v>25</v>
      </c>
    </row>
    <row r="15" spans="1:6" ht="15" customHeight="1" x14ac:dyDescent="0.2">
      <c r="A15" s="19" t="s">
        <v>26</v>
      </c>
      <c r="B15" s="20">
        <f>SUM(B7:B13)</f>
        <v>1</v>
      </c>
      <c r="C15" s="3" t="s">
        <v>27</v>
      </c>
      <c r="D15" s="3"/>
      <c r="E15" s="3"/>
      <c r="F15" s="3"/>
    </row>
    <row r="17" spans="1:6" ht="27.75" customHeight="1" x14ac:dyDescent="0.2">
      <c r="A17" s="2" t="s">
        <v>28</v>
      </c>
      <c r="B17" s="2"/>
      <c r="C17" s="2"/>
      <c r="D17" s="2"/>
      <c r="E17" s="2"/>
      <c r="F17" s="2"/>
    </row>
    <row r="18" spans="1:6" ht="99.75" customHeight="1" x14ac:dyDescent="0.2">
      <c r="A18" s="1" t="s">
        <v>29</v>
      </c>
      <c r="B18" s="1"/>
      <c r="C18" s="1"/>
      <c r="D18" s="1"/>
      <c r="E18" s="1"/>
      <c r="F18" s="1"/>
    </row>
  </sheetData>
  <mergeCells count="8">
    <mergeCell ref="C15:F15"/>
    <mergeCell ref="A17:F17"/>
    <mergeCell ref="A18:F18"/>
    <mergeCell ref="A1:F1"/>
    <mergeCell ref="A2:F2"/>
    <mergeCell ref="A3:F3"/>
    <mergeCell ref="A4:F4"/>
    <mergeCell ref="A14:B14"/>
  </mergeCells>
  <conditionalFormatting sqref="C7:C13">
    <cfRule type="colorScale" priority="2">
      <colorScale>
        <cfvo type="num" val="1"/>
        <cfvo type="num" val="3"/>
        <cfvo type="num" val="5"/>
        <color rgb="FFFF6B6B"/>
        <color rgb="FFF5B942"/>
        <color rgb="FF2ECC71"/>
      </colorScale>
    </cfRule>
  </conditionalFormatting>
  <conditionalFormatting sqref="C14:E14">
    <cfRule type="expression" dxfId="0" priority="5">
      <formula>C14=MAX($C$14:$E$14)</formula>
    </cfRule>
  </conditionalFormatting>
  <conditionalFormatting sqref="D7:D13">
    <cfRule type="colorScale" priority="3">
      <colorScale>
        <cfvo type="num" val="1"/>
        <cfvo type="num" val="3"/>
        <cfvo type="num" val="5"/>
        <color rgb="FFFF6B6B"/>
        <color rgb="FFF5B942"/>
        <color rgb="FF2ECC71"/>
      </colorScale>
    </cfRule>
  </conditionalFormatting>
  <conditionalFormatting sqref="E7:E13">
    <cfRule type="colorScale" priority="4">
      <colorScale>
        <cfvo type="num" val="1"/>
        <cfvo type="num" val="3"/>
        <cfvo type="num" val="5"/>
        <color rgb="FFFF6B6B"/>
        <color rgb="FFF5B942"/>
        <color rgb="FF2ECC71"/>
      </colorScale>
    </cfRule>
  </conditionalFormatting>
  <dataValidations count="1">
    <dataValidation type="list" allowBlank="1" errorTitle="Choix invalide" error="Valeur non autorisée" sqref="C7:E13" xr:uid="{00000000-0002-0000-0000-000000000000}">
      <formula1>"1,2,3,4,5"</formula1>
      <formula2>0</formula2>
    </dataValidation>
  </dataValidations>
  <pageMargins left="0.4" right="0.4" top="0.5" bottom="0.5" header="0.5" footer="0.5"/>
  <pageSetup fitToHeight="0" orientation="landscape" horizontalDpi="300" verticalDpi="300"/>
  <headerFooter>
    <oddHeader>&amp;C&amp;"Arial,Bold"&amp;12&amp;K0e1c33Utopios · MA-IT Consulting</oddHeader>
    <oddFooter>&amp;L&amp;"Arial,Italic"&amp;9&amp;K4a5568C6.1 — Comprendre le besoin métier&amp;R&amp;"Arial,Italic"&amp;9&amp;K4a5568Page &amp;P /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13DFD369A1AAC44894D14194C7688E9" ma:contentTypeVersion="11" ma:contentTypeDescription="Crée un document." ma:contentTypeScope="" ma:versionID="cf49c3de8148c8cc546756f07c645c21">
  <xsd:schema xmlns:xsd="http://www.w3.org/2001/XMLSchema" xmlns:xs="http://www.w3.org/2001/XMLSchema" xmlns:p="http://schemas.microsoft.com/office/2006/metadata/properties" xmlns:ns2="3c2bf3aa-a91c-4b6f-b8ca-d89e5279fe2a" xmlns:ns3="e425dd83-799c-4ff9-a9a6-f6a8064637e1" targetNamespace="http://schemas.microsoft.com/office/2006/metadata/properties" ma:root="true" ma:fieldsID="175034be094e24b6f4ed2934660117f3" ns2:_="" ns3:_="">
    <xsd:import namespace="3c2bf3aa-a91c-4b6f-b8ca-d89e5279fe2a"/>
    <xsd:import namespace="e425dd83-799c-4ff9-a9a6-f6a8064637e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c2bf3aa-a91c-4b6f-b8ca-d89e5279fe2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Balises d’images" ma:readOnly="false" ma:fieldId="{5cf76f15-5ced-4ddc-b409-7134ff3c332f}" ma:taxonomyMulti="true" ma:sspId="d4b6e4fd-4af2-4f07-b7d1-18266e58562b"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425dd83-799c-4ff9-a9a6-f6a8064637e1"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5186b3eb-60d2-4154-b03c-a4c7679995e8}" ma:internalName="TaxCatchAll" ma:showField="CatchAllData" ma:web="e425dd83-799c-4ff9-a9a6-f6a8064637e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c2bf3aa-a91c-4b6f-b8ca-d89e5279fe2a">
      <Terms xmlns="http://schemas.microsoft.com/office/infopath/2007/PartnerControls"/>
    </lcf76f155ced4ddcb4097134ff3c332f>
    <TaxCatchAll xmlns="e425dd83-799c-4ff9-a9a6-f6a8064637e1" xsi:nil="true"/>
  </documentManagement>
</p:properties>
</file>

<file path=customXml/itemProps1.xml><?xml version="1.0" encoding="utf-8"?>
<ds:datastoreItem xmlns:ds="http://schemas.openxmlformats.org/officeDocument/2006/customXml" ds:itemID="{19CEFE34-4B14-485C-8BF7-374213C41759}"/>
</file>

<file path=customXml/itemProps2.xml><?xml version="1.0" encoding="utf-8"?>
<ds:datastoreItem xmlns:ds="http://schemas.openxmlformats.org/officeDocument/2006/customXml" ds:itemID="{0E4D32CA-E463-4273-9901-3A9EFFC2849A}"/>
</file>

<file path=customXml/itemProps3.xml><?xml version="1.0" encoding="utf-8"?>
<ds:datastoreItem xmlns:ds="http://schemas.openxmlformats.org/officeDocument/2006/customXml" ds:itemID="{2619624D-CEF5-4C01-A039-84DD1E1446ED}"/>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Matrice décision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AIJJOU Mohamed</cp:lastModifiedBy>
  <cp:revision>0</cp:revision>
  <dcterms:created xsi:type="dcterms:W3CDTF">2026-05-10T15:07:08Z</dcterms:created>
  <dcterms:modified xsi:type="dcterms:W3CDTF">2026-05-12T04:59:27Z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0x010100913DFD369A1AAC44894D14194C7688E9</vt:lpwstr>
  </property>
</Properties>
</file>