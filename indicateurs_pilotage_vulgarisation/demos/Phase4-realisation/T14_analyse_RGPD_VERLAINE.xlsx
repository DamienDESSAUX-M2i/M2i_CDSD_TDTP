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ohamedaijjou/Documents/formation/pilotage-indicateur-data/1-demo-ok/phase4/Verlaine_DEMO/solutions/"/>
    </mc:Choice>
  </mc:AlternateContent>
  <xr:revisionPtr revIDLastSave="0" documentId="13_ncr:1_{4A90F6C8-3006-4448-8F73-E0D3D483969A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Analyse RGPD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1" l="1"/>
  <c r="E23" i="1"/>
  <c r="E22" i="1"/>
  <c r="E21" i="1"/>
  <c r="E20" i="1"/>
  <c r="E19" i="1"/>
  <c r="E18" i="1"/>
  <c r="E17" i="1"/>
</calcChain>
</file>

<file path=xl/sharedStrings.xml><?xml version="1.0" encoding="utf-8"?>
<sst xmlns="http://schemas.openxmlformats.org/spreadsheetml/2006/main" count="90" uniqueCount="80">
  <si>
    <t>Analyse RGPD — Maison Verlaine</t>
  </si>
  <si>
    <t>Trame T14 · J2-aprem · Compétence C6.4 · Annexe D du CDC</t>
  </si>
  <si>
    <t xml:space="preserve">  💡  Synthèse de l'analyse RGPD</t>
  </si>
  <si>
    <t>Sponsor : Sophie Lefèvre · DPO : Anne Lopez. Sources : CR atelier données (S09) + mail DPO (S10) + tableau risques (S11). Document à intégrer en annexe D du CDC. Base légale principale : Intérêt légitime art. 6.1.f (test mise en balance documenté).</t>
  </si>
  <si>
    <t xml:space="preserve">  📋  Identification du traitement</t>
  </si>
  <si>
    <t>Responsable du traitement</t>
  </si>
  <si>
    <t>Maison Verlaine</t>
  </si>
  <si>
    <t>Délégué à la Protection (DPO)</t>
  </si>
  <si>
    <t>Anne Lopez</t>
  </si>
  <si>
    <t>Finalité principale</t>
  </si>
  <si>
    <t>Identifier les clientes premium en risque de rupture pour permettre une action commerciale individualisée par les conseillères</t>
  </si>
  <si>
    <t>Base légale principale</t>
  </si>
  <si>
    <t>Intérêt légitime art. 6.1.f (test mise en balance documenté)</t>
  </si>
  <si>
    <t>Base légale secondaire</t>
  </si>
  <si>
    <t>Exécution contrat (programme fidélité) art. 6.1.b pour les données transactionnelles</t>
  </si>
  <si>
    <t>Personnes concernées</t>
  </si>
  <si>
    <t>Clientes membres du programme fidélité avec ≥ 1 500 € CA cumulé sur 12 mois (~30 000 personnes)</t>
  </si>
  <si>
    <t>Statut AIPD</t>
  </si>
  <si>
    <t>Signée par Anne Lopez le 31/03/2025 — version 1.2</t>
  </si>
  <si>
    <t xml:space="preserve">  ⚠  Matrice des risques RGPD</t>
  </si>
  <si>
    <t>#</t>
  </si>
  <si>
    <t>Risque identifié</t>
  </si>
  <si>
    <t>Probabilité
(1-5)</t>
  </si>
  <si>
    <t>Impact
(1-5)</t>
  </si>
  <si>
    <t>Score</t>
  </si>
  <si>
    <t>Mesure de mitigation</t>
  </si>
  <si>
    <t>Statut</t>
  </si>
  <si>
    <t>Profilage à grande échelle non couvert AIPD</t>
  </si>
  <si>
    <t>AIPD signée par Anne Lopez le 31/03/2025 (avant COMEX)</t>
  </si>
  <si>
    <t>COUVERT</t>
  </si>
  <si>
    <t>Variables sensibles inférées (taille vêtement)</t>
  </si>
  <si>
    <t>Exclusion explicite du dataset · contrôle automatique pré-train</t>
  </si>
  <si>
    <t>Absence de consentement explicite</t>
  </si>
  <si>
    <t>Base légale intérêt légitime + information newsletter avril</t>
  </si>
  <si>
    <t>Bascule article 22 si conseillère cesse d'arbitrer</t>
  </si>
  <si>
    <t>KPI taux scores ignorés &gt; 15 % suivi en continu</t>
  </si>
  <si>
    <t>À TRAITER</t>
  </si>
  <si>
    <t>Demande droit d'accès non honorée délai 30j</t>
  </si>
  <si>
    <t>Procédure DPO + 1 ETP backup en phase 2</t>
  </si>
  <si>
    <t>Refus opposition (opt_out) non propagé</t>
  </si>
  <si>
    <t>Champ Salesforce opt_out_scoring déployé · batch quotidien Karim</t>
  </si>
  <si>
    <t>Fuite données vers prestataire</t>
  </si>
  <si>
    <t>Audit ISO 27001 janvier 2025 · pas de copie locale</t>
  </si>
  <si>
    <t>Re-entraînement sans nouvelle AIPD</t>
  </si>
  <si>
    <t>Procédure de revue AIPD à chaque ré-entraînement (phase 2)</t>
  </si>
  <si>
    <t xml:space="preserve">  🛡  Mesures techniques et organisationnelles déployées</t>
  </si>
  <si>
    <t>Catégorie</t>
  </si>
  <si>
    <t>Mesure mise en œuvre</t>
  </si>
  <si>
    <t>Responsable</t>
  </si>
  <si>
    <t>Échéance</t>
  </si>
  <si>
    <t>Pseudonymisation</t>
  </si>
  <si>
    <t>client_id pseudonyme dans tous les datasets (pas de nom-prénom)</t>
  </si>
  <si>
    <t>Léa Dupuis</t>
  </si>
  <si>
    <t>Avant entraînement</t>
  </si>
  <si>
    <t>Information personnes</t>
  </si>
  <si>
    <t>Encart dans newsletter avril + page dédiée /data-fidelite</t>
  </si>
  <si>
    <t>Sophie Lefèvre</t>
  </si>
  <si>
    <t>01/04/2025</t>
  </si>
  <si>
    <t>Droit d'opposition</t>
  </si>
  <si>
    <t>Champ Salesforce opt_out_scoring + batch quotidien J+1</t>
  </si>
  <si>
    <t>Karim Benali</t>
  </si>
  <si>
    <t>27/03/2025</t>
  </si>
  <si>
    <t>Droit d'accès</t>
  </si>
  <si>
    <t>Procédure DPO + canal dédié dpo@maison-verlaine.fr</t>
  </si>
  <si>
    <t>Permanent</t>
  </si>
  <si>
    <t>Sécurité technique</t>
  </si>
  <si>
    <t>Snowflake VPN · chiffrement disque postes · audit ISO</t>
  </si>
  <si>
    <t>Mehdi Tazi</t>
  </si>
  <si>
    <t>OK</t>
  </si>
  <si>
    <t>Conservation</t>
  </si>
  <si>
    <t>Purge automatique 24 mois roulants · scores 13 mois</t>
  </si>
  <si>
    <t>Phase 2</t>
  </si>
  <si>
    <t>Surveillance art. 22</t>
  </si>
  <si>
    <t>KPI hebdo taux scores ignorés (cible ≥ 15 %)</t>
  </si>
  <si>
    <t>Mohamed Kassemi</t>
  </si>
  <si>
    <t>Documentation registre</t>
  </si>
  <si>
    <t>Enregistrement traitement · mise à jour annuelle</t>
  </si>
  <si>
    <t>Annuel</t>
  </si>
  <si>
    <t xml:space="preserve">  ✅  Conditions de validation DPO</t>
  </si>
  <si>
    <t>Anne Lopez (DPO) signe l'AIPD à condition que :
• Variables interdites confirmées exclues du dataset (Léa, mail explicite)
• Champ opt_out_scoring déployé en Salesforce (Karim, mail confirmation)
• Encart RGPD validé pour la newsletter avril (Sophie, validation comm)
• KPI taux scores ignorés intégré au dashboard (Mohamed, slide 6 COMEX)
Validation finale prévue lundi 31/03/2025 (avant COMEX).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</si>
</sst>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b/>
      <i/>
      <sz val="10"/>
      <color rgb="FFFFFFFF"/>
      <name val="Arial"/>
      <family val="2"/>
    </font>
    <font>
      <b/>
      <sz val="10"/>
      <color rgb="FF0E1C33"/>
      <name val="Arial"/>
      <family val="2"/>
    </font>
    <font>
      <sz val="9"/>
      <color rgb="FF4A5568"/>
      <name val="Arial"/>
      <family val="2"/>
    </font>
    <font>
      <b/>
      <sz val="13"/>
      <color rgb="FFFFFFFF"/>
      <name val="Arial"/>
      <family val="2"/>
    </font>
    <font>
      <b/>
      <sz val="10"/>
      <color rgb="FF0057B8"/>
      <name val="Arial"/>
      <family val="2"/>
    </font>
    <font>
      <sz val="10"/>
      <color rgb="FF222222"/>
      <name val="Arial"/>
      <family val="2"/>
    </font>
    <font>
      <b/>
      <sz val="11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E1C33"/>
        <bgColor rgb="FF222222"/>
      </patternFill>
    </fill>
    <fill>
      <patternFill patternType="solid">
        <fgColor rgb="FF00AEEF"/>
        <bgColor rgb="FF008080"/>
      </patternFill>
    </fill>
    <fill>
      <patternFill patternType="solid">
        <fgColor rgb="FFEDF2F7"/>
        <bgColor rgb="FFF7FAFC"/>
      </patternFill>
    </fill>
    <fill>
      <patternFill patternType="solid">
        <fgColor rgb="FF0057B8"/>
        <bgColor rgb="FF008080"/>
      </patternFill>
    </fill>
    <fill>
      <patternFill patternType="solid">
        <fgColor rgb="FFF7FAFC"/>
        <bgColor rgb="FFF8FAFC"/>
      </patternFill>
    </fill>
    <fill>
      <patternFill patternType="solid">
        <fgColor rgb="FFFF6B6B"/>
        <bgColor rgb="FFEA580C"/>
      </patternFill>
    </fill>
    <fill>
      <patternFill patternType="solid">
        <fgColor rgb="FFF8FAFC"/>
        <bgColor rgb="FFF7FAFC"/>
      </patternFill>
    </fill>
    <fill>
      <patternFill patternType="solid">
        <fgColor rgb="FF2ECC71"/>
        <bgColor rgb="FF339966"/>
      </patternFill>
    </fill>
    <fill>
      <patternFill patternType="solid">
        <fgColor rgb="FFD1FAE5"/>
        <bgColor rgb="FFEDF2F7"/>
      </patternFill>
    </fill>
  </fills>
  <borders count="7">
    <border>
      <left/>
      <right/>
      <top/>
      <bottom/>
      <diagonal/>
    </border>
    <border>
      <left style="medium">
        <color rgb="FF0057B8"/>
      </left>
      <right/>
      <top style="medium">
        <color rgb="FF0057B8"/>
      </top>
      <bottom/>
      <diagonal/>
    </border>
    <border>
      <left style="medium">
        <color rgb="FF0057B8"/>
      </left>
      <right/>
      <top/>
      <bottom style="medium">
        <color rgb="FF0057B8"/>
      </bottom>
      <diagonal/>
    </border>
    <border>
      <left style="thin">
        <color rgb="FFA0AEC0"/>
      </left>
      <right/>
      <top style="thin">
        <color rgb="FFA0AEC0"/>
      </top>
      <bottom style="thin">
        <color rgb="FFA0AEC0"/>
      </bottom>
      <diagonal/>
    </border>
    <border>
      <left style="thin">
        <color rgb="FF0E1C33"/>
      </left>
      <right style="thin">
        <color rgb="FF0E1C33"/>
      </right>
      <top style="thin">
        <color rgb="FF0E1C33"/>
      </top>
      <bottom style="medium">
        <color rgb="FF0E1C33"/>
      </bottom>
      <diagonal/>
    </border>
    <border>
      <left style="thin">
        <color rgb="FFA0AEC0"/>
      </left>
      <right style="thin">
        <color rgb="FFA0AEC0"/>
      </right>
      <top style="thin">
        <color rgb="FFA0AEC0"/>
      </top>
      <bottom style="thin">
        <color rgb="FFA0AEC0"/>
      </bottom>
      <diagonal/>
    </border>
    <border>
      <left style="thin">
        <color rgb="FF0E1C33"/>
      </left>
      <right/>
      <top style="thin">
        <color rgb="FF0E1C33"/>
      </top>
      <bottom style="medium">
        <color rgb="FF0E1C3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7" fillId="10" borderId="3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center" indent="1"/>
    </xf>
    <xf numFmtId="0" fontId="4" fillId="0" borderId="3" xfId="0" applyFont="1" applyBorder="1" applyAlignment="1">
      <alignment horizontal="left" vertical="top" wrapText="1"/>
    </xf>
    <xf numFmtId="0" fontId="3" fillId="6" borderId="3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7" fillId="0" borderId="3" xfId="0" applyFont="1" applyBorder="1" applyAlignment="1">
      <alignment horizontal="left" vertical="top" wrapText="1"/>
    </xf>
    <xf numFmtId="0" fontId="6" fillId="6" borderId="3" xfId="0" applyFont="1" applyFill="1" applyBorder="1" applyAlignment="1">
      <alignment horizontal="left" vertical="top" wrapText="1"/>
    </xf>
    <xf numFmtId="0" fontId="5" fillId="5" borderId="0" xfId="0" applyFont="1" applyFill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8" fillId="2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left" vertical="top" wrapText="1"/>
    </xf>
    <xf numFmtId="0" fontId="3" fillId="8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7">
    <dxf>
      <font>
        <b/>
        <color rgb="FFFFFFFF"/>
      </font>
      <fill>
        <patternFill>
          <bgColor rgb="FFFF6B6B"/>
        </patternFill>
      </fill>
    </dxf>
    <dxf>
      <font>
        <b/>
        <color rgb="FF0E1C33"/>
      </font>
      <fill>
        <patternFill>
          <bgColor rgb="FFF5B942"/>
        </patternFill>
      </fill>
    </dxf>
    <dxf>
      <font>
        <b/>
        <color rgb="FFFFFFFF"/>
      </font>
      <fill>
        <patternFill>
          <bgColor rgb="FF2ECC71"/>
        </patternFill>
      </fill>
    </dxf>
    <dxf>
      <font>
        <b/>
        <color rgb="FFFFFFFF"/>
      </font>
      <fill>
        <patternFill>
          <bgColor rgb="FFFF6B6B"/>
        </patternFill>
      </fill>
    </dxf>
    <dxf>
      <font>
        <b/>
        <color rgb="FFFFFFFF"/>
      </font>
      <fill>
        <patternFill>
          <bgColor rgb="FFEA580C"/>
        </patternFill>
      </fill>
    </dxf>
    <dxf>
      <font>
        <b/>
        <color rgb="FF0E1C33"/>
      </font>
      <fill>
        <patternFill>
          <bgColor rgb="FFF5B942"/>
        </patternFill>
      </fill>
    </dxf>
    <dxf>
      <font>
        <b/>
        <color rgb="FFFFFFFF"/>
      </font>
      <fill>
        <patternFill>
          <bgColor rgb="FF2ECC7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AEC0"/>
      <rgbColor rgb="FF808080"/>
      <rgbColor rgb="FF9999FF"/>
      <rgbColor rgb="FF993366"/>
      <rgbColor rgb="FFF8FAFC"/>
      <rgbColor rgb="FFEDF2F7"/>
      <rgbColor rgb="FF660066"/>
      <rgbColor rgb="FFFF6B6B"/>
      <rgbColor rgb="FF0057B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F7FAFC"/>
      <rgbColor rgb="FFD1FAE5"/>
      <rgbColor rgb="FFFFFF99"/>
      <rgbColor rgb="FF99CCFF"/>
      <rgbColor rgb="FFFF99CC"/>
      <rgbColor rgb="FFCC99FF"/>
      <rgbColor rgb="FFFFCC99"/>
      <rgbColor rgb="FF3366FF"/>
      <rgbColor rgb="FF2ECC71"/>
      <rgbColor rgb="FF99CC00"/>
      <rgbColor rgb="FFF5B942"/>
      <rgbColor rgb="FFFF9900"/>
      <rgbColor rgb="FFEA580C"/>
      <rgbColor rgb="FF4A5568"/>
      <rgbColor rgb="FF969696"/>
      <rgbColor rgb="FF0E1C33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"/>
  <sheetViews>
    <sheetView showGridLines="0" tabSelected="1" zoomScale="120" zoomScaleNormal="120" workbookViewId="0">
      <pane ySplit="7" topLeftCell="A8" activePane="bottomLeft" state="frozen"/>
      <selection pane="bottomLeft" activeCell="F17" sqref="F17"/>
    </sheetView>
  </sheetViews>
  <sheetFormatPr baseColWidth="10" defaultColWidth="8.6640625" defaultRowHeight="15" x14ac:dyDescent="0.2"/>
  <cols>
    <col min="1" max="1" width="4" customWidth="1"/>
    <col min="2" max="2" width="30" customWidth="1"/>
    <col min="3" max="4" width="13" customWidth="1"/>
    <col min="5" max="5" width="6.1640625" bestFit="1" customWidth="1"/>
    <col min="6" max="6" width="30" customWidth="1"/>
    <col min="7" max="7" width="11" bestFit="1" customWidth="1"/>
  </cols>
  <sheetData>
    <row r="1" spans="1:7" ht="42" customHeight="1" x14ac:dyDescent="0.2">
      <c r="A1" s="14" t="s">
        <v>0</v>
      </c>
      <c r="B1" s="14"/>
      <c r="C1" s="14"/>
      <c r="D1" s="14"/>
      <c r="E1" s="14"/>
      <c r="F1" s="14"/>
      <c r="G1" s="14"/>
    </row>
    <row r="2" spans="1:7" ht="21.75" customHeight="1" x14ac:dyDescent="0.2">
      <c r="A2" s="13" t="s">
        <v>1</v>
      </c>
      <c r="B2" s="13"/>
      <c r="C2" s="13"/>
      <c r="D2" s="13"/>
      <c r="E2" s="13"/>
      <c r="F2" s="13"/>
      <c r="G2" s="13"/>
    </row>
    <row r="3" spans="1:7" ht="21.75" customHeight="1" x14ac:dyDescent="0.2">
      <c r="A3" s="12" t="s">
        <v>2</v>
      </c>
      <c r="B3" s="12"/>
      <c r="C3" s="12"/>
      <c r="D3" s="12"/>
      <c r="E3" s="12"/>
      <c r="F3" s="12"/>
      <c r="G3" s="12"/>
    </row>
    <row r="4" spans="1:7" ht="36" customHeight="1" x14ac:dyDescent="0.2">
      <c r="A4" s="11" t="s">
        <v>3</v>
      </c>
      <c r="B4" s="11"/>
      <c r="C4" s="11"/>
      <c r="D4" s="11"/>
      <c r="E4" s="11"/>
      <c r="F4" s="11"/>
      <c r="G4" s="11"/>
    </row>
    <row r="6" spans="1:7" ht="27.75" customHeight="1" x14ac:dyDescent="0.2">
      <c r="A6" s="10" t="s">
        <v>4</v>
      </c>
      <c r="B6" s="10"/>
      <c r="C6" s="10"/>
      <c r="D6" s="10"/>
      <c r="E6" s="10"/>
      <c r="F6" s="10"/>
      <c r="G6" s="10"/>
    </row>
    <row r="7" spans="1:7" ht="24" customHeight="1" x14ac:dyDescent="0.2">
      <c r="A7" s="9" t="s">
        <v>5</v>
      </c>
      <c r="B7" s="9"/>
      <c r="C7" s="8" t="s">
        <v>6</v>
      </c>
      <c r="D7" s="8"/>
      <c r="E7" s="8"/>
      <c r="F7" s="8"/>
      <c r="G7" s="8"/>
    </row>
    <row r="8" spans="1:7" ht="24" customHeight="1" x14ac:dyDescent="0.2">
      <c r="A8" s="9" t="s">
        <v>7</v>
      </c>
      <c r="B8" s="9"/>
      <c r="C8" s="8" t="s">
        <v>8</v>
      </c>
      <c r="D8" s="8"/>
      <c r="E8" s="8"/>
      <c r="F8" s="8"/>
      <c r="G8" s="8"/>
    </row>
    <row r="9" spans="1:7" ht="24" customHeight="1" x14ac:dyDescent="0.2">
      <c r="A9" s="9" t="s">
        <v>9</v>
      </c>
      <c r="B9" s="9"/>
      <c r="C9" s="8" t="s">
        <v>10</v>
      </c>
      <c r="D9" s="8"/>
      <c r="E9" s="8"/>
      <c r="F9" s="8"/>
      <c r="G9" s="8"/>
    </row>
    <row r="10" spans="1:7" ht="24" customHeight="1" x14ac:dyDescent="0.2">
      <c r="A10" s="9" t="s">
        <v>11</v>
      </c>
      <c r="B10" s="9"/>
      <c r="C10" s="8" t="s">
        <v>12</v>
      </c>
      <c r="D10" s="8"/>
      <c r="E10" s="8"/>
      <c r="F10" s="8"/>
      <c r="G10" s="8"/>
    </row>
    <row r="11" spans="1:7" ht="24" customHeight="1" x14ac:dyDescent="0.2">
      <c r="A11" s="9" t="s">
        <v>13</v>
      </c>
      <c r="B11" s="9"/>
      <c r="C11" s="8" t="s">
        <v>14</v>
      </c>
      <c r="D11" s="8"/>
      <c r="E11" s="8"/>
      <c r="F11" s="8"/>
      <c r="G11" s="8"/>
    </row>
    <row r="12" spans="1:7" ht="24" customHeight="1" x14ac:dyDescent="0.2">
      <c r="A12" s="9" t="s">
        <v>15</v>
      </c>
      <c r="B12" s="9"/>
      <c r="C12" s="8" t="s">
        <v>16</v>
      </c>
      <c r="D12" s="8"/>
      <c r="E12" s="8"/>
      <c r="F12" s="8"/>
      <c r="G12" s="8"/>
    </row>
    <row r="13" spans="1:7" ht="24" customHeight="1" x14ac:dyDescent="0.2">
      <c r="A13" s="9" t="s">
        <v>17</v>
      </c>
      <c r="B13" s="9"/>
      <c r="C13" s="8" t="s">
        <v>18</v>
      </c>
      <c r="D13" s="8"/>
      <c r="E13" s="8"/>
      <c r="F13" s="8"/>
      <c r="G13" s="8"/>
    </row>
    <row r="15" spans="1:7" ht="27.75" customHeight="1" x14ac:dyDescent="0.2">
      <c r="A15" s="7" t="s">
        <v>19</v>
      </c>
      <c r="B15" s="7"/>
      <c r="C15" s="7"/>
      <c r="D15" s="7"/>
      <c r="E15" s="7"/>
      <c r="F15" s="7"/>
      <c r="G15" s="7"/>
    </row>
    <row r="16" spans="1:7" ht="36" customHeight="1" x14ac:dyDescent="0.2">
      <c r="A16" s="15" t="s">
        <v>20</v>
      </c>
      <c r="B16" s="15" t="s">
        <v>21</v>
      </c>
      <c r="C16" s="15" t="s">
        <v>22</v>
      </c>
      <c r="D16" s="15" t="s">
        <v>23</v>
      </c>
      <c r="E16" s="15" t="s">
        <v>24</v>
      </c>
      <c r="F16" s="15" t="s">
        <v>25</v>
      </c>
      <c r="G16" s="15" t="s">
        <v>26</v>
      </c>
    </row>
    <row r="17" spans="1:7" ht="49.5" customHeight="1" x14ac:dyDescent="0.2">
      <c r="A17" s="16">
        <v>1</v>
      </c>
      <c r="B17" s="17" t="s">
        <v>27</v>
      </c>
      <c r="C17" s="18">
        <v>2</v>
      </c>
      <c r="D17" s="18">
        <v>5</v>
      </c>
      <c r="E17" s="18">
        <f t="shared" ref="E17:E24" si="0">C17*D17</f>
        <v>10</v>
      </c>
      <c r="F17" s="19" t="s">
        <v>28</v>
      </c>
      <c r="G17" s="18" t="s">
        <v>29</v>
      </c>
    </row>
    <row r="18" spans="1:7" ht="49.5" customHeight="1" x14ac:dyDescent="0.2">
      <c r="A18" s="20">
        <v>2</v>
      </c>
      <c r="B18" s="21" t="s">
        <v>30</v>
      </c>
      <c r="C18" s="22">
        <v>3</v>
      </c>
      <c r="D18" s="22">
        <v>4</v>
      </c>
      <c r="E18" s="18">
        <f t="shared" si="0"/>
        <v>12</v>
      </c>
      <c r="F18" s="23" t="s">
        <v>31</v>
      </c>
      <c r="G18" s="18" t="s">
        <v>29</v>
      </c>
    </row>
    <row r="19" spans="1:7" ht="49.5" customHeight="1" x14ac:dyDescent="0.2">
      <c r="A19" s="16">
        <v>3</v>
      </c>
      <c r="B19" s="17" t="s">
        <v>32</v>
      </c>
      <c r="C19" s="18">
        <v>2</v>
      </c>
      <c r="D19" s="18">
        <v>4</v>
      </c>
      <c r="E19" s="18">
        <f t="shared" si="0"/>
        <v>8</v>
      </c>
      <c r="F19" s="19" t="s">
        <v>33</v>
      </c>
      <c r="G19" s="18" t="s">
        <v>29</v>
      </c>
    </row>
    <row r="20" spans="1:7" ht="49.5" customHeight="1" x14ac:dyDescent="0.2">
      <c r="A20" s="20">
        <v>4</v>
      </c>
      <c r="B20" s="21" t="s">
        <v>34</v>
      </c>
      <c r="C20" s="22">
        <v>3</v>
      </c>
      <c r="D20" s="22">
        <v>5</v>
      </c>
      <c r="E20" s="18">
        <f t="shared" si="0"/>
        <v>15</v>
      </c>
      <c r="F20" s="23" t="s">
        <v>35</v>
      </c>
      <c r="G20" s="18" t="s">
        <v>36</v>
      </c>
    </row>
    <row r="21" spans="1:7" ht="49.5" customHeight="1" x14ac:dyDescent="0.2">
      <c r="A21" s="16">
        <v>5</v>
      </c>
      <c r="B21" s="17" t="s">
        <v>37</v>
      </c>
      <c r="C21" s="18">
        <v>2</v>
      </c>
      <c r="D21" s="18">
        <v>3</v>
      </c>
      <c r="E21" s="18">
        <f t="shared" si="0"/>
        <v>6</v>
      </c>
      <c r="F21" s="19" t="s">
        <v>38</v>
      </c>
      <c r="G21" s="18" t="s">
        <v>29</v>
      </c>
    </row>
    <row r="22" spans="1:7" ht="49.5" customHeight="1" x14ac:dyDescent="0.2">
      <c r="A22" s="20">
        <v>6</v>
      </c>
      <c r="B22" s="21" t="s">
        <v>39</v>
      </c>
      <c r="C22" s="22">
        <v>2</v>
      </c>
      <c r="D22" s="22">
        <v>4</v>
      </c>
      <c r="E22" s="18">
        <f t="shared" si="0"/>
        <v>8</v>
      </c>
      <c r="F22" s="23" t="s">
        <v>40</v>
      </c>
      <c r="G22" s="18" t="s">
        <v>29</v>
      </c>
    </row>
    <row r="23" spans="1:7" ht="49.5" customHeight="1" x14ac:dyDescent="0.2">
      <c r="A23" s="16">
        <v>7</v>
      </c>
      <c r="B23" s="17" t="s">
        <v>41</v>
      </c>
      <c r="C23" s="18">
        <v>1</v>
      </c>
      <c r="D23" s="18">
        <v>5</v>
      </c>
      <c r="E23" s="18">
        <f t="shared" si="0"/>
        <v>5</v>
      </c>
      <c r="F23" s="19" t="s">
        <v>42</v>
      </c>
      <c r="G23" s="18" t="s">
        <v>29</v>
      </c>
    </row>
    <row r="24" spans="1:7" ht="49.5" customHeight="1" x14ac:dyDescent="0.2">
      <c r="A24" s="20">
        <v>8</v>
      </c>
      <c r="B24" s="21" t="s">
        <v>43</v>
      </c>
      <c r="C24" s="22">
        <v>3</v>
      </c>
      <c r="D24" s="22">
        <v>4</v>
      </c>
      <c r="E24" s="18">
        <f t="shared" si="0"/>
        <v>12</v>
      </c>
      <c r="F24" s="23" t="s">
        <v>44</v>
      </c>
      <c r="G24" s="18" t="s">
        <v>36</v>
      </c>
    </row>
    <row r="26" spans="1:7" ht="27.75" customHeight="1" x14ac:dyDescent="0.2">
      <c r="A26" s="6" t="s">
        <v>45</v>
      </c>
      <c r="B26" s="6"/>
      <c r="C26" s="6"/>
      <c r="D26" s="6"/>
      <c r="E26" s="6"/>
      <c r="F26" s="6"/>
      <c r="G26" s="6"/>
    </row>
    <row r="27" spans="1:7" ht="24" customHeight="1" x14ac:dyDescent="0.2">
      <c r="A27" s="5" t="s">
        <v>46</v>
      </c>
      <c r="B27" s="5"/>
      <c r="C27" s="5" t="s">
        <v>47</v>
      </c>
      <c r="D27" s="5"/>
      <c r="E27" s="5"/>
      <c r="F27" s="15" t="s">
        <v>48</v>
      </c>
      <c r="G27" s="15" t="s">
        <v>49</v>
      </c>
    </row>
    <row r="28" spans="1:7" ht="30" customHeight="1" x14ac:dyDescent="0.2">
      <c r="A28" s="4" t="s">
        <v>50</v>
      </c>
      <c r="B28" s="4"/>
      <c r="C28" s="3" t="s">
        <v>51</v>
      </c>
      <c r="D28" s="3"/>
      <c r="E28" s="3"/>
      <c r="F28" s="16" t="s">
        <v>52</v>
      </c>
      <c r="G28" s="16" t="s">
        <v>53</v>
      </c>
    </row>
    <row r="29" spans="1:7" ht="30" customHeight="1" x14ac:dyDescent="0.2">
      <c r="A29" s="4" t="s">
        <v>54</v>
      </c>
      <c r="B29" s="4"/>
      <c r="C29" s="3" t="s">
        <v>55</v>
      </c>
      <c r="D29" s="3"/>
      <c r="E29" s="3"/>
      <c r="F29" s="16" t="s">
        <v>56</v>
      </c>
      <c r="G29" s="16" t="s">
        <v>57</v>
      </c>
    </row>
    <row r="30" spans="1:7" ht="30" customHeight="1" x14ac:dyDescent="0.2">
      <c r="A30" s="4" t="s">
        <v>58</v>
      </c>
      <c r="B30" s="4"/>
      <c r="C30" s="3" t="s">
        <v>59</v>
      </c>
      <c r="D30" s="3"/>
      <c r="E30" s="3"/>
      <c r="F30" s="16" t="s">
        <v>60</v>
      </c>
      <c r="G30" s="16" t="s">
        <v>61</v>
      </c>
    </row>
    <row r="31" spans="1:7" ht="30" customHeight="1" x14ac:dyDescent="0.2">
      <c r="A31" s="4" t="s">
        <v>62</v>
      </c>
      <c r="B31" s="4"/>
      <c r="C31" s="3" t="s">
        <v>63</v>
      </c>
      <c r="D31" s="3"/>
      <c r="E31" s="3"/>
      <c r="F31" s="16" t="s">
        <v>8</v>
      </c>
      <c r="G31" s="16" t="s">
        <v>64</v>
      </c>
    </row>
    <row r="32" spans="1:7" ht="30" customHeight="1" x14ac:dyDescent="0.2">
      <c r="A32" s="4" t="s">
        <v>65</v>
      </c>
      <c r="B32" s="4"/>
      <c r="C32" s="3" t="s">
        <v>66</v>
      </c>
      <c r="D32" s="3"/>
      <c r="E32" s="3"/>
      <c r="F32" s="16" t="s">
        <v>67</v>
      </c>
      <c r="G32" s="16" t="s">
        <v>68</v>
      </c>
    </row>
    <row r="33" spans="1:7" ht="30" customHeight="1" x14ac:dyDescent="0.2">
      <c r="A33" s="4" t="s">
        <v>69</v>
      </c>
      <c r="B33" s="4"/>
      <c r="C33" s="3" t="s">
        <v>70</v>
      </c>
      <c r="D33" s="3"/>
      <c r="E33" s="3"/>
      <c r="F33" s="16" t="s">
        <v>67</v>
      </c>
      <c r="G33" s="16" t="s">
        <v>71</v>
      </c>
    </row>
    <row r="34" spans="1:7" ht="30" customHeight="1" x14ac:dyDescent="0.2">
      <c r="A34" s="4" t="s">
        <v>72</v>
      </c>
      <c r="B34" s="4"/>
      <c r="C34" s="3" t="s">
        <v>73</v>
      </c>
      <c r="D34" s="3"/>
      <c r="E34" s="3"/>
      <c r="F34" s="16" t="s">
        <v>74</v>
      </c>
      <c r="G34" s="16" t="s">
        <v>71</v>
      </c>
    </row>
    <row r="35" spans="1:7" ht="30" customHeight="1" x14ac:dyDescent="0.2">
      <c r="A35" s="4" t="s">
        <v>75</v>
      </c>
      <c r="B35" s="4"/>
      <c r="C35" s="3" t="s">
        <v>76</v>
      </c>
      <c r="D35" s="3"/>
      <c r="E35" s="3"/>
      <c r="F35" s="16" t="s">
        <v>8</v>
      </c>
      <c r="G35" s="16" t="s">
        <v>77</v>
      </c>
    </row>
    <row r="37" spans="1:7" ht="27.75" customHeight="1" x14ac:dyDescent="0.2">
      <c r="A37" s="2" t="s">
        <v>78</v>
      </c>
      <c r="B37" s="2"/>
      <c r="C37" s="2"/>
      <c r="D37" s="2"/>
      <c r="E37" s="2"/>
      <c r="F37" s="2"/>
      <c r="G37" s="2"/>
    </row>
    <row r="38" spans="1:7" ht="99.75" customHeight="1" x14ac:dyDescent="0.2">
      <c r="A38" s="1" t="s">
        <v>79</v>
      </c>
      <c r="B38" s="1"/>
      <c r="C38" s="1"/>
      <c r="D38" s="1"/>
      <c r="E38" s="1"/>
      <c r="F38" s="1"/>
      <c r="G38" s="1"/>
    </row>
  </sheetData>
  <mergeCells count="41">
    <mergeCell ref="A38:G38"/>
    <mergeCell ref="A34:B34"/>
    <mergeCell ref="C34:E34"/>
    <mergeCell ref="A35:B35"/>
    <mergeCell ref="C35:E35"/>
    <mergeCell ref="A37:G37"/>
    <mergeCell ref="A31:B31"/>
    <mergeCell ref="C31:E31"/>
    <mergeCell ref="A32:B32"/>
    <mergeCell ref="C32:E32"/>
    <mergeCell ref="A33:B33"/>
    <mergeCell ref="C33:E33"/>
    <mergeCell ref="A28:B28"/>
    <mergeCell ref="C28:E28"/>
    <mergeCell ref="A29:B29"/>
    <mergeCell ref="C29:E29"/>
    <mergeCell ref="A30:B30"/>
    <mergeCell ref="C30:E30"/>
    <mergeCell ref="A13:B13"/>
    <mergeCell ref="C13:G13"/>
    <mergeCell ref="A15:G15"/>
    <mergeCell ref="A26:G26"/>
    <mergeCell ref="A27:B27"/>
    <mergeCell ref="C27:E27"/>
    <mergeCell ref="A10:B10"/>
    <mergeCell ref="C10:G10"/>
    <mergeCell ref="A11:B11"/>
    <mergeCell ref="C11:G11"/>
    <mergeCell ref="A12:B12"/>
    <mergeCell ref="C12:G12"/>
    <mergeCell ref="A7:B7"/>
    <mergeCell ref="C7:G7"/>
    <mergeCell ref="A8:B8"/>
    <mergeCell ref="C8:G8"/>
    <mergeCell ref="A9:B9"/>
    <mergeCell ref="C9:G9"/>
    <mergeCell ref="A1:G1"/>
    <mergeCell ref="A2:G2"/>
    <mergeCell ref="A3:G3"/>
    <mergeCell ref="A4:G4"/>
    <mergeCell ref="A6:G6"/>
  </mergeCells>
  <conditionalFormatting sqref="E17:E24">
    <cfRule type="expression" dxfId="6" priority="2">
      <formula>E17&lt;=4</formula>
    </cfRule>
    <cfRule type="expression" dxfId="5" priority="3">
      <formula>AND(E17&gt;=5,E17&lt;=9)</formula>
    </cfRule>
    <cfRule type="expression" dxfId="4" priority="4">
      <formula>AND(E17&gt;=10,E17&lt;=16)</formula>
    </cfRule>
    <cfRule type="expression" dxfId="3" priority="5">
      <formula>E17&gt;=17</formula>
    </cfRule>
  </conditionalFormatting>
  <conditionalFormatting sqref="G17:G24">
    <cfRule type="expression" dxfId="2" priority="6">
      <formula>EXACT(G17,"COUVERT")</formula>
    </cfRule>
    <cfRule type="expression" dxfId="1" priority="7">
      <formula>EXACT(G17,"À TRAITER")</formula>
    </cfRule>
    <cfRule type="expression" dxfId="0" priority="8">
      <formula>EXACT(G17,"BLOQUANT")</formula>
    </cfRule>
  </conditionalFormatting>
  <dataValidations count="1">
    <dataValidation type="list" allowBlank="1" errorTitle="Choix invalide" error="Valeur non autorisée" sqref="C17:D24" xr:uid="{00000000-0002-0000-0000-000000000000}">
      <formula1>"1,2,3,4,5"</formula1>
      <formula2>0</formula2>
    </dataValidation>
  </dataValidations>
  <pageMargins left="0.4" right="0.4" top="0.5" bottom="0.5" header="0.5" footer="0.5"/>
  <pageSetup fitToHeight="0" orientation="landscape" horizontalDpi="300" verticalDpi="300"/>
  <headerFooter>
    <oddHeader>&amp;C&amp;"Arial,Bold"&amp;12&amp;K0e1c33Utopios · MA-IT Consulting</oddHeader>
    <oddFooter>&amp;L&amp;"Arial,Italic"&amp;9&amp;K4a5568C6.1 — Comprendre le besoin métier&amp;R&amp;"Arial,Italic"&amp;9&amp;K4a5568Page 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1" ma:contentTypeDescription="Crée un document." ma:contentTypeScope="" ma:versionID="cf49c3de8148c8cc546756f07c645c21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175034be094e24b6f4ed2934660117f3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5918B0B1-4FCD-4A18-89EF-7272E779CCD7}"/>
</file>

<file path=customXml/itemProps2.xml><?xml version="1.0" encoding="utf-8"?>
<ds:datastoreItem xmlns:ds="http://schemas.openxmlformats.org/officeDocument/2006/customXml" ds:itemID="{2F8399E2-3539-43FF-8D97-00FDB3D09436}"/>
</file>

<file path=customXml/itemProps3.xml><?xml version="1.0" encoding="utf-8"?>
<ds:datastoreItem xmlns:ds="http://schemas.openxmlformats.org/officeDocument/2006/customXml" ds:itemID="{02F5F828-493A-48AA-8BF5-4563D5CBC4C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Analyse RGPD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AIJJOU Mohamed</cp:lastModifiedBy>
  <cp:revision>0</cp:revision>
  <dcterms:created xsi:type="dcterms:W3CDTF">2026-05-10T15:52:11Z</dcterms:created>
  <dcterms:modified xsi:type="dcterms:W3CDTF">2026-05-12T04:54:15Z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