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proj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<sst xmlns="http://schemas.openxmlformats.org/spreadsheetml/2006/main" count="70" uniqueCount="61">
  <si>
    <t xml:space="preserve">Budget projet — Maison Verlaine</t>
  </si>
  <si>
    <t xml:space="preserve">Trame T07 · J1-aprem · Phase 1 + Phase 2 · Cible 35 k€ + 100 k€</t>
  </si>
  <si>
    <t xml:space="preserve">  💡  Méthode et lecture</t>
  </si>
  <si>
    <t xml:space="preserve">Sponsor : Sophie Lefèvre · validation Caroline Marchand (DG). Décomposition en RH (TJM × jours), Infra (mensuel × mois), Externes (one-shot). Provision aléas en bas. Toutes valeurs HT. Sources : extract coûts internes (S06) + mail DSI (S05) + CR atelier (S04).</t>
  </si>
  <si>
    <t xml:space="preserve">  💼  Ressources humaines</t>
  </si>
  <si>
    <t xml:space="preserve">#</t>
  </si>
  <si>
    <t xml:space="preserve">Profil</t>
  </si>
  <si>
    <t xml:space="preserve">TJM (€)</t>
  </si>
  <si>
    <t xml:space="preserve">Jours P1</t>
  </si>
  <si>
    <t xml:space="preserve">Jours P2</t>
  </si>
  <si>
    <t xml:space="preserve">Total P1</t>
  </si>
  <si>
    <t xml:space="preserve">Total P2</t>
  </si>
  <si>
    <t xml:space="preserve">Notes</t>
  </si>
  <si>
    <t xml:space="preserve">Chef de projet data senior (Utopios)</t>
  </si>
  <si>
    <t xml:space="preserve">1/4 temps sur 6 sem</t>
  </si>
  <si>
    <t xml:space="preserve">Data scientist senior (Utopios)</t>
  </si>
  <si>
    <t xml:space="preserve">Modélisation + démo COMEX</t>
  </si>
  <si>
    <t xml:space="preserve">Karim Benali (CRM, refacturé)</t>
  </si>
  <si>
    <t xml:space="preserve">30 % × 6 sem</t>
  </si>
  <si>
    <t xml:space="preserve">Léa Dupuis (Analyst, refacturé)</t>
  </si>
  <si>
    <t xml:space="preserve">50 % × 6 sem</t>
  </si>
  <si>
    <t xml:space="preserve">Consultant CRM Salesforce</t>
  </si>
  <si>
    <t xml:space="preserve">Champ custom + batch nocturne (ext.)</t>
  </si>
  <si>
    <t xml:space="preserve">TOTAL RH</t>
  </si>
  <si>
    <t xml:space="preserve">  ☁  Infrastructure et licences</t>
  </si>
  <si>
    <t xml:space="preserve">Poste</t>
  </si>
  <si>
    <t xml:space="preserve">€/mois</t>
  </si>
  <si>
    <t xml:space="preserve">Mois P1</t>
  </si>
  <si>
    <t xml:space="preserve">Mois P2</t>
  </si>
  <si>
    <t xml:space="preserve">Snowflake — warehouse SMALL</t>
  </si>
  <si>
    <t xml:space="preserve">Couvert mais quotas projet</t>
  </si>
  <si>
    <t xml:space="preserve">Power BI — licences pilote</t>
  </si>
  <si>
    <t xml:space="preserve">Hébergement modèle AWS</t>
  </si>
  <si>
    <t xml:space="preserve">Pour servir le score quotidien</t>
  </si>
  <si>
    <t xml:space="preserve">TOTAL INFRA</t>
  </si>
  <si>
    <t xml:space="preserve">  🔌  Prestations externes (one-shot)</t>
  </si>
  <si>
    <t xml:space="preserve">Prestation</t>
  </si>
  <si>
    <t xml:space="preserve">Coût total</t>
  </si>
  <si>
    <t xml:space="preserve">Phase</t>
  </si>
  <si>
    <t xml:space="preserve">—</t>
  </si>
  <si>
    <t xml:space="preserve">AIPD réalisée par cabinet externe</t>
  </si>
  <si>
    <t xml:space="preserve">P1</t>
  </si>
  <si>
    <t xml:space="preserve">Si DPO ne fait pas en interne</t>
  </si>
  <si>
    <t xml:space="preserve">Formation conseillères 5 boutiques</t>
  </si>
  <si>
    <t xml:space="preserve">P2</t>
  </si>
  <si>
    <t xml:space="preserve">1/2 j × 5 boutiques + supports</t>
  </si>
  <si>
    <t xml:space="preserve">TOTAL EXTERNES</t>
  </si>
  <si>
    <t xml:space="preserve">  📊  Synthèse budget</t>
  </si>
  <si>
    <t xml:space="preserve">Sous-total RH</t>
  </si>
  <si>
    <t xml:space="preserve">Sous-total Infra</t>
  </si>
  <si>
    <t xml:space="preserve">Sous-total Externes</t>
  </si>
  <si>
    <t xml:space="preserve">Sous-total avant provision</t>
  </si>
  <si>
    <t xml:space="preserve">Provision aléas (15 %)</t>
  </si>
  <si>
    <t xml:space="preserve">TOTAL HT (avec provision)</t>
  </si>
  <si>
    <t xml:space="preserve">  🎯  Cible vs réalisé</t>
  </si>
  <si>
    <t xml:space="preserve">Cible (€)</t>
  </si>
  <si>
    <t xml:space="preserve">Calculé (€)</t>
  </si>
  <si>
    <t xml:space="preserve">Écart</t>
  </si>
  <si>
    <t xml:space="preserve">Cible Phase 1 (CDC)</t>
  </si>
  <si>
    <t xml:space="preserve">Cible Phase 2 (CDC)</t>
  </si>
  <si>
    <t xml:space="preserve">Hypothèses : phase 1 = 6 semaines (jusqu'au COMEX 30/03), phase 2 = 6 mois (avril-octobre). TJM externes Utopios alignés grille référencée. Refacturations internes Karim/Léa/Mehdi selon S06. Provision aléas 15 % (faible incertitude car scope phase 1 court et bien cadré). Phase 2 sera réajustée après COMEX en fonction des retours Caroline.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</si>
</sst>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\+0.0\ %;\-0.0\ %;0\ 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0E1C33"/>
      <name val="Arial"/>
      <family val="0"/>
      <charset val="1"/>
    </font>
    <font>
      <b val="true"/>
      <sz val="10"/>
      <color rgb="FF0057B8"/>
      <name val="Arial"/>
      <family val="0"/>
      <charset val="1"/>
    </font>
    <font>
      <b val="true"/>
      <sz val="12"/>
      <color rgb="FF0E1C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4A556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008080"/>
      </patternFill>
    </fill>
    <fill>
      <patternFill patternType="solid">
        <fgColor rgb="FFEDF2F7"/>
        <bgColor rgb="FFF7FAFC"/>
      </patternFill>
    </fill>
    <fill>
      <patternFill patternType="solid">
        <fgColor rgb="FF0057B8"/>
        <bgColor rgb="FF008080"/>
      </patternFill>
    </fill>
    <fill>
      <patternFill patternType="solid">
        <fgColor rgb="FFDBEAFE"/>
        <bgColor rgb="FFEDF2F7"/>
      </patternFill>
    </fill>
    <fill>
      <patternFill patternType="solid">
        <fgColor rgb="FFFEF3C7"/>
        <bgColor rgb="FFEDF2F7"/>
      </patternFill>
    </fill>
    <fill>
      <patternFill patternType="solid">
        <fgColor rgb="FFF8FAFC"/>
        <bgColor rgb="FFF7FAFC"/>
      </patternFill>
    </fill>
    <fill>
      <patternFill patternType="solid">
        <fgColor rgb="FFF5B942"/>
        <bgColor rgb="FFFFCC99"/>
      </patternFill>
    </fill>
    <fill>
      <patternFill patternType="solid">
        <fgColor rgb="FF8B5CF6"/>
        <bgColor rgb="FF808080"/>
      </patternFill>
    </fill>
    <fill>
      <patternFill patternType="solid">
        <fgColor rgb="FFF7FAFC"/>
        <bgColor rgb="FFF8FAFC"/>
      </patternFill>
    </fill>
    <fill>
      <patternFill patternType="solid">
        <fgColor rgb="FF2ECC71"/>
        <bgColor rgb="FF3399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0E1C33"/>
      </left>
      <right/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FFFFFF"/>
      </font>
      <fill>
        <patternFill>
          <bgColor rgb="FF2ECC71"/>
        </patternFill>
      </fill>
    </dxf>
    <dxf>
      <font>
        <b val="1"/>
        <color rgb="FF0E1C33"/>
      </font>
      <fill>
        <patternFill>
          <bgColor rgb="FFF5B942"/>
        </patternFill>
      </fill>
    </dxf>
    <dxf>
      <font>
        <b val="1"/>
        <color rgb="FFFFFFFF"/>
      </font>
      <fill>
        <patternFill>
          <bgColor rgb="FFFF6B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8B5CF6"/>
      <rgbColor rgb="FF993366"/>
      <rgbColor rgb="FFFEF3C7"/>
      <rgbColor rgb="FFDBEAFE"/>
      <rgbColor rgb="FF660066"/>
      <rgbColor rgb="FFFF6B6B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EDF2F7"/>
      <rgbColor rgb="FFF7FAFC"/>
      <rgbColor rgb="FFF8FAFC"/>
      <rgbColor rgb="FF99CCFF"/>
      <rgbColor rgb="FFFF99CC"/>
      <rgbColor rgb="FFCC99FF"/>
      <rgbColor rgb="FFFFCC99"/>
      <rgbColor rgb="FF3366FF"/>
      <rgbColor rgb="FF2ECC71"/>
      <rgbColor rgb="FF99CC00"/>
      <rgbColor rgb="FFF5B942"/>
      <rgbColor rgb="FFFF9900"/>
      <rgbColor rgb="FFFF6600"/>
      <rgbColor rgb="FF4A5568"/>
      <rgbColor rgb="FF969696"/>
      <rgbColor rgb="FF0E1C33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5" zoomScaleNormal="105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7" min="3" style="0" width="14"/>
    <col collapsed="false" customWidth="true" hidden="false" outlineLevel="0" max="8" min="8" style="0" width="2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6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6" customFormat="false" ht="27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27.75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</row>
    <row r="8" customFormat="false" ht="21.75" hidden="false" customHeight="true" outlineLevel="0" collapsed="false">
      <c r="A8" s="7" t="n">
        <v>1</v>
      </c>
      <c r="B8" s="8" t="s">
        <v>13</v>
      </c>
      <c r="C8" s="9" t="n">
        <v>950</v>
      </c>
      <c r="D8" s="7" t="n">
        <v>6</v>
      </c>
      <c r="E8" s="7" t="n">
        <v>8</v>
      </c>
      <c r="F8" s="10" t="n">
        <f aca="false">C8*D8</f>
        <v>5700</v>
      </c>
      <c r="G8" s="11" t="n">
        <f aca="false">C8*E8</f>
        <v>7600</v>
      </c>
      <c r="H8" s="12" t="s">
        <v>14</v>
      </c>
    </row>
    <row r="9" customFormat="false" ht="21.75" hidden="false" customHeight="true" outlineLevel="0" collapsed="false">
      <c r="A9" s="13" t="n">
        <v>2</v>
      </c>
      <c r="B9" s="14" t="s">
        <v>15</v>
      </c>
      <c r="C9" s="15" t="n">
        <v>850</v>
      </c>
      <c r="D9" s="13" t="n">
        <v>12</v>
      </c>
      <c r="E9" s="13" t="n">
        <v>25</v>
      </c>
      <c r="F9" s="10" t="n">
        <f aca="false">C9*D9</f>
        <v>10200</v>
      </c>
      <c r="G9" s="11" t="n">
        <f aca="false">C9*E9</f>
        <v>21250</v>
      </c>
      <c r="H9" s="16" t="s">
        <v>16</v>
      </c>
    </row>
    <row r="10" customFormat="false" ht="21.75" hidden="false" customHeight="true" outlineLevel="0" collapsed="false">
      <c r="A10" s="7" t="n">
        <v>3</v>
      </c>
      <c r="B10" s="8" t="s">
        <v>17</v>
      </c>
      <c r="C10" s="9" t="n">
        <v>550</v>
      </c>
      <c r="D10" s="7" t="n">
        <v>5</v>
      </c>
      <c r="E10" s="7" t="n">
        <v>8</v>
      </c>
      <c r="F10" s="10" t="n">
        <f aca="false">C10*D10</f>
        <v>2750</v>
      </c>
      <c r="G10" s="11" t="n">
        <f aca="false">C10*E10</f>
        <v>4400</v>
      </c>
      <c r="H10" s="12" t="s">
        <v>18</v>
      </c>
    </row>
    <row r="11" customFormat="false" ht="21.75" hidden="false" customHeight="true" outlineLevel="0" collapsed="false">
      <c r="A11" s="13" t="n">
        <v>4</v>
      </c>
      <c r="B11" s="14" t="s">
        <v>19</v>
      </c>
      <c r="C11" s="15" t="n">
        <v>420</v>
      </c>
      <c r="D11" s="13" t="n">
        <v>8</v>
      </c>
      <c r="E11" s="13" t="n">
        <v>40</v>
      </c>
      <c r="F11" s="10" t="n">
        <f aca="false">C11*D11</f>
        <v>3360</v>
      </c>
      <c r="G11" s="11" t="n">
        <f aca="false">C11*E11</f>
        <v>16800</v>
      </c>
      <c r="H11" s="16" t="s">
        <v>20</v>
      </c>
    </row>
    <row r="12" customFormat="false" ht="21.75" hidden="false" customHeight="true" outlineLevel="0" collapsed="false">
      <c r="A12" s="7" t="n">
        <v>5</v>
      </c>
      <c r="B12" s="8" t="s">
        <v>21</v>
      </c>
      <c r="C12" s="9" t="n">
        <v>700</v>
      </c>
      <c r="D12" s="7" t="n">
        <v>0</v>
      </c>
      <c r="E12" s="7" t="n">
        <v>10</v>
      </c>
      <c r="F12" s="10" t="n">
        <f aca="false">C12*D12</f>
        <v>0</v>
      </c>
      <c r="G12" s="11" t="n">
        <f aca="false">C12*E12</f>
        <v>7000</v>
      </c>
      <c r="H12" s="12" t="s">
        <v>22</v>
      </c>
    </row>
    <row r="13" customFormat="false" ht="27.75" hidden="false" customHeight="true" outlineLevel="0" collapsed="false">
      <c r="A13" s="17" t="s">
        <v>23</v>
      </c>
      <c r="B13" s="17"/>
      <c r="C13" s="17"/>
      <c r="D13" s="17"/>
      <c r="E13" s="17"/>
      <c r="F13" s="18" t="n">
        <f aca="false">SUM(F8:F12)</f>
        <v>22010</v>
      </c>
      <c r="G13" s="19" t="n">
        <f aca="false">SUM(G8:G12)</f>
        <v>57050</v>
      </c>
      <c r="H13" s="20"/>
    </row>
    <row r="15" customFormat="false" ht="27.75" hidden="false" customHeight="true" outlineLevel="0" collapsed="false">
      <c r="A15" s="21" t="s">
        <v>24</v>
      </c>
      <c r="B15" s="21"/>
      <c r="C15" s="21"/>
      <c r="D15" s="21"/>
      <c r="E15" s="21"/>
      <c r="F15" s="21"/>
      <c r="G15" s="21"/>
      <c r="H15" s="21"/>
    </row>
    <row r="16" customFormat="false" ht="27.75" hidden="false" customHeight="true" outlineLevel="0" collapsed="false">
      <c r="A16" s="6" t="s">
        <v>5</v>
      </c>
      <c r="B16" s="6" t="s">
        <v>25</v>
      </c>
      <c r="C16" s="6" t="s">
        <v>26</v>
      </c>
      <c r="D16" s="6" t="s">
        <v>27</v>
      </c>
      <c r="E16" s="6" t="s">
        <v>28</v>
      </c>
      <c r="F16" s="6" t="s">
        <v>10</v>
      </c>
      <c r="G16" s="6" t="s">
        <v>11</v>
      </c>
      <c r="H16" s="6" t="s">
        <v>12</v>
      </c>
    </row>
    <row r="17" customFormat="false" ht="21.75" hidden="false" customHeight="true" outlineLevel="0" collapsed="false">
      <c r="A17" s="7" t="n">
        <v>1</v>
      </c>
      <c r="B17" s="8" t="s">
        <v>29</v>
      </c>
      <c r="C17" s="9" t="n">
        <v>850</v>
      </c>
      <c r="D17" s="7" t="n">
        <v>1.5</v>
      </c>
      <c r="E17" s="7" t="n">
        <v>6</v>
      </c>
      <c r="F17" s="10" t="n">
        <f aca="false">C17*D17</f>
        <v>1275</v>
      </c>
      <c r="G17" s="11" t="n">
        <f aca="false">C17*E17</f>
        <v>5100</v>
      </c>
      <c r="H17" s="12" t="s">
        <v>30</v>
      </c>
    </row>
    <row r="18" customFormat="false" ht="21.75" hidden="false" customHeight="true" outlineLevel="0" collapsed="false">
      <c r="A18" s="13" t="n">
        <v>2</v>
      </c>
      <c r="B18" s="14" t="s">
        <v>31</v>
      </c>
      <c r="C18" s="15" t="n">
        <v>100</v>
      </c>
      <c r="D18" s="13" t="n">
        <v>1.5</v>
      </c>
      <c r="E18" s="13" t="n">
        <v>6</v>
      </c>
      <c r="F18" s="10" t="n">
        <f aca="false">C18*D18</f>
        <v>150</v>
      </c>
      <c r="G18" s="11" t="n">
        <f aca="false">C18*E18</f>
        <v>600</v>
      </c>
      <c r="H18" s="16"/>
    </row>
    <row r="19" customFormat="false" ht="21.75" hidden="false" customHeight="true" outlineLevel="0" collapsed="false">
      <c r="A19" s="7" t="n">
        <v>3</v>
      </c>
      <c r="B19" s="8" t="s">
        <v>32</v>
      </c>
      <c r="C19" s="9" t="n">
        <v>350</v>
      </c>
      <c r="D19" s="7" t="n">
        <v>0</v>
      </c>
      <c r="E19" s="7" t="n">
        <v>6</v>
      </c>
      <c r="F19" s="10" t="n">
        <f aca="false">C19*D19</f>
        <v>0</v>
      </c>
      <c r="G19" s="11" t="n">
        <f aca="false">C19*E19</f>
        <v>2100</v>
      </c>
      <c r="H19" s="12" t="s">
        <v>33</v>
      </c>
    </row>
    <row r="20" customFormat="false" ht="27.75" hidden="false" customHeight="true" outlineLevel="0" collapsed="false">
      <c r="A20" s="17" t="s">
        <v>34</v>
      </c>
      <c r="B20" s="17"/>
      <c r="C20" s="17"/>
      <c r="D20" s="17"/>
      <c r="E20" s="17"/>
      <c r="F20" s="18" t="n">
        <f aca="false">SUM(F17:F19)</f>
        <v>1425</v>
      </c>
      <c r="G20" s="19" t="n">
        <f aca="false">SUM(G17:G19)</f>
        <v>7800</v>
      </c>
      <c r="H20" s="20"/>
    </row>
    <row r="22" customFormat="false" ht="27.75" hidden="false" customHeight="true" outlineLevel="0" collapsed="false">
      <c r="A22" s="22" t="s">
        <v>35</v>
      </c>
      <c r="B22" s="22"/>
      <c r="C22" s="22"/>
      <c r="D22" s="22"/>
      <c r="E22" s="22"/>
      <c r="F22" s="22"/>
      <c r="G22" s="22"/>
      <c r="H22" s="22"/>
    </row>
    <row r="23" customFormat="false" ht="27.75" hidden="false" customHeight="true" outlineLevel="0" collapsed="false">
      <c r="A23" s="6" t="s">
        <v>5</v>
      </c>
      <c r="B23" s="6" t="s">
        <v>36</v>
      </c>
      <c r="C23" s="6" t="s">
        <v>37</v>
      </c>
      <c r="D23" s="6" t="s">
        <v>38</v>
      </c>
      <c r="E23" s="6" t="s">
        <v>39</v>
      </c>
      <c r="F23" s="6" t="s">
        <v>10</v>
      </c>
      <c r="G23" s="6" t="s">
        <v>11</v>
      </c>
      <c r="H23" s="6" t="s">
        <v>12</v>
      </c>
    </row>
    <row r="24" customFormat="false" ht="21.75" hidden="false" customHeight="true" outlineLevel="0" collapsed="false">
      <c r="A24" s="7" t="n">
        <v>1</v>
      </c>
      <c r="B24" s="8" t="s">
        <v>40</v>
      </c>
      <c r="C24" s="9" t="n">
        <v>8000</v>
      </c>
      <c r="D24" s="23" t="s">
        <v>41</v>
      </c>
      <c r="E24" s="24"/>
      <c r="F24" s="10" t="n">
        <f aca="false">C24</f>
        <v>8000</v>
      </c>
      <c r="G24" s="25" t="n">
        <v>0</v>
      </c>
      <c r="H24" s="12" t="s">
        <v>42</v>
      </c>
    </row>
    <row r="25" customFormat="false" ht="21.75" hidden="false" customHeight="true" outlineLevel="0" collapsed="false">
      <c r="A25" s="13" t="n">
        <v>2</v>
      </c>
      <c r="B25" s="14" t="s">
        <v>43</v>
      </c>
      <c r="C25" s="15" t="n">
        <v>5000</v>
      </c>
      <c r="D25" s="26" t="s">
        <v>44</v>
      </c>
      <c r="E25" s="27"/>
      <c r="F25" s="25" t="n">
        <v>0</v>
      </c>
      <c r="G25" s="11" t="n">
        <f aca="false">C25</f>
        <v>5000</v>
      </c>
      <c r="H25" s="16" t="s">
        <v>45</v>
      </c>
    </row>
    <row r="26" customFormat="false" ht="27.75" hidden="false" customHeight="true" outlineLevel="0" collapsed="false">
      <c r="A26" s="17" t="s">
        <v>46</v>
      </c>
      <c r="B26" s="17"/>
      <c r="C26" s="17"/>
      <c r="D26" s="17"/>
      <c r="E26" s="17"/>
      <c r="F26" s="18" t="n">
        <f aca="false">SUM(F24:F25)</f>
        <v>8000</v>
      </c>
      <c r="G26" s="19" t="n">
        <f aca="false">SUM(G24:G25)</f>
        <v>5000</v>
      </c>
      <c r="H26" s="20"/>
    </row>
    <row r="28" customFormat="false" ht="27.75" hidden="false" customHeight="true" outlineLevel="0" collapsed="false">
      <c r="A28" s="28" t="s">
        <v>47</v>
      </c>
      <c r="B28" s="28"/>
      <c r="C28" s="28"/>
      <c r="D28" s="28"/>
      <c r="E28" s="28"/>
      <c r="F28" s="28"/>
      <c r="G28" s="28"/>
      <c r="H28" s="28"/>
    </row>
    <row r="29" customFormat="false" ht="24" hidden="false" customHeight="true" outlineLevel="0" collapsed="false">
      <c r="A29" s="29" t="s">
        <v>48</v>
      </c>
      <c r="B29" s="29"/>
      <c r="C29" s="29"/>
      <c r="D29" s="29"/>
      <c r="E29" s="29"/>
      <c r="F29" s="10" t="n">
        <f aca="false">F13</f>
        <v>22010</v>
      </c>
      <c r="G29" s="11" t="n">
        <f aca="false">G13</f>
        <v>57050</v>
      </c>
      <c r="H29" s="24"/>
    </row>
    <row r="30" customFormat="false" ht="24" hidden="false" customHeight="true" outlineLevel="0" collapsed="false">
      <c r="A30" s="29" t="s">
        <v>49</v>
      </c>
      <c r="B30" s="29"/>
      <c r="C30" s="29"/>
      <c r="D30" s="29"/>
      <c r="E30" s="29"/>
      <c r="F30" s="10" t="n">
        <f aca="false">F20</f>
        <v>1425</v>
      </c>
      <c r="G30" s="11" t="n">
        <f aca="false">G20</f>
        <v>7800</v>
      </c>
      <c r="H30" s="24"/>
    </row>
    <row r="31" customFormat="false" ht="24" hidden="false" customHeight="true" outlineLevel="0" collapsed="false">
      <c r="A31" s="29" t="s">
        <v>50</v>
      </c>
      <c r="B31" s="29"/>
      <c r="C31" s="29"/>
      <c r="D31" s="29"/>
      <c r="E31" s="29"/>
      <c r="F31" s="10" t="n">
        <f aca="false">F26</f>
        <v>8000</v>
      </c>
      <c r="G31" s="11" t="n">
        <f aca="false">G26</f>
        <v>5000</v>
      </c>
      <c r="H31" s="24"/>
    </row>
    <row r="32" customFormat="false" ht="24" hidden="false" customHeight="true" outlineLevel="0" collapsed="false">
      <c r="A32" s="29" t="s">
        <v>51</v>
      </c>
      <c r="B32" s="29"/>
      <c r="C32" s="29"/>
      <c r="D32" s="29"/>
      <c r="E32" s="29"/>
      <c r="F32" s="30" t="n">
        <f aca="false">F29+F30+F31</f>
        <v>31435</v>
      </c>
      <c r="G32" s="31" t="n">
        <f aca="false">G29+G30+G31</f>
        <v>69850</v>
      </c>
      <c r="H32" s="24"/>
    </row>
    <row r="33" customFormat="false" ht="15" hidden="false" customHeight="false" outlineLevel="0" collapsed="false">
      <c r="A33" s="29" t="s">
        <v>52</v>
      </c>
      <c r="B33" s="29"/>
      <c r="C33" s="29"/>
      <c r="D33" s="29"/>
      <c r="E33" s="29"/>
      <c r="F33" s="10" t="n">
        <f aca="false">F32*0.15</f>
        <v>4715.25</v>
      </c>
      <c r="G33" s="11" t="n">
        <f aca="false">G32*0.15</f>
        <v>10477.5</v>
      </c>
      <c r="H33" s="24"/>
    </row>
    <row r="34" customFormat="false" ht="31.5" hidden="false" customHeight="true" outlineLevel="0" collapsed="false">
      <c r="A34" s="32" t="s">
        <v>53</v>
      </c>
      <c r="B34" s="32"/>
      <c r="C34" s="32"/>
      <c r="D34" s="32"/>
      <c r="E34" s="32"/>
      <c r="F34" s="33" t="n">
        <f aca="false">F32+F33</f>
        <v>36150.25</v>
      </c>
      <c r="G34" s="34" t="n">
        <f aca="false">G32+G33</f>
        <v>80327.5</v>
      </c>
      <c r="H34" s="20"/>
    </row>
    <row r="36" customFormat="false" ht="27.75" hidden="false" customHeight="true" outlineLevel="0" collapsed="false">
      <c r="A36" s="35" t="s">
        <v>54</v>
      </c>
      <c r="B36" s="35"/>
      <c r="C36" s="35"/>
      <c r="D36" s="35"/>
      <c r="E36" s="35"/>
      <c r="F36" s="35"/>
      <c r="G36" s="35"/>
      <c r="H36" s="35"/>
    </row>
    <row r="37" customFormat="false" ht="15" hidden="false" customHeight="false" outlineLevel="0" collapsed="false">
      <c r="B37" s="6" t="s">
        <v>38</v>
      </c>
      <c r="C37" s="6" t="s">
        <v>55</v>
      </c>
      <c r="D37" s="6" t="s">
        <v>56</v>
      </c>
      <c r="E37" s="6" t="s">
        <v>57</v>
      </c>
    </row>
    <row r="38" customFormat="false" ht="24" hidden="false" customHeight="true" outlineLevel="0" collapsed="false">
      <c r="B38" s="36" t="s">
        <v>58</v>
      </c>
      <c r="C38" s="25" t="n">
        <v>35000</v>
      </c>
      <c r="D38" s="25" t="n">
        <f aca="false">F34</f>
        <v>36150.25</v>
      </c>
      <c r="E38" s="37" t="n">
        <f aca="false">(F34-35000)/35000</f>
        <v>0.0328642857142857</v>
      </c>
    </row>
    <row r="39" customFormat="false" ht="24" hidden="false" customHeight="true" outlineLevel="0" collapsed="false">
      <c r="B39" s="36" t="s">
        <v>59</v>
      </c>
      <c r="C39" s="25" t="n">
        <v>100000</v>
      </c>
      <c r="D39" s="25" t="n">
        <f aca="false">G34</f>
        <v>80327.5</v>
      </c>
      <c r="E39" s="37" t="n">
        <f aca="false">(G34-100000)/100000</f>
        <v>-0.196725</v>
      </c>
    </row>
    <row r="41" customFormat="false" ht="36" hidden="false" customHeight="true" outlineLevel="0" collapsed="false">
      <c r="A41" s="38" t="s">
        <v>60</v>
      </c>
      <c r="B41" s="38"/>
      <c r="C41" s="38"/>
      <c r="D41" s="38"/>
      <c r="E41" s="38"/>
      <c r="F41" s="38"/>
      <c r="G41" s="38"/>
      <c r="H41" s="38"/>
    </row>
  </sheetData>
  <mergeCells count="19">
    <mergeCell ref="A1:H1"/>
    <mergeCell ref="A2:H2"/>
    <mergeCell ref="A3:H3"/>
    <mergeCell ref="A4:H4"/>
    <mergeCell ref="A6:H6"/>
    <mergeCell ref="A13:E13"/>
    <mergeCell ref="A15:H15"/>
    <mergeCell ref="A20:E20"/>
    <mergeCell ref="A22:H22"/>
    <mergeCell ref="A26:E26"/>
    <mergeCell ref="A28:H28"/>
    <mergeCell ref="A29:E29"/>
    <mergeCell ref="A30:E30"/>
    <mergeCell ref="A31:E31"/>
    <mergeCell ref="A32:E32"/>
    <mergeCell ref="A33:E33"/>
    <mergeCell ref="A34:E34"/>
    <mergeCell ref="A36:H36"/>
    <mergeCell ref="A41:H41"/>
  </mergeCells>
  <conditionalFormatting sqref="E38:E39">
    <cfRule type="expression" priority="2" aboveAverage="0" equalAverage="0" bottom="0" percent="0" rank="0" text="" dxfId="0">
      <formula>ABS(E38)&lt;=0.1</formula>
    </cfRule>
    <cfRule type="expression" priority="3" aboveAverage="0" equalAverage="0" bottom="0" percent="0" rank="0" text="" dxfId="1">
      <formula>AND(ABS(E38)&gt;0.1,ABS(E38)&lt;=0.2)</formula>
    </cfRule>
    <cfRule type="expression" priority="4" aboveAverage="0" equalAverage="0" bottom="0" percent="0" rank="0" text="" dxfId="2">
      <formula>ABS(E38)&gt;0.2</formula>
    </cfRule>
  </conditionalFormatting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18D28151-5BD9-427E-99A2-B0943C84886C}"/>
</file>

<file path=customXml/itemProps2.xml><?xml version="1.0" encoding="utf-8"?>
<ds:datastoreItem xmlns:ds="http://schemas.openxmlformats.org/officeDocument/2006/customXml" ds:itemID="{3980C7F8-3E6F-4B53-935E-6C6F0F5A3C08}"/>
</file>

<file path=customXml/itemProps3.xml><?xml version="1.0" encoding="utf-8"?>
<ds:datastoreItem xmlns:ds="http://schemas.openxmlformats.org/officeDocument/2006/customXml" ds:itemID="{6FDBAC9B-7CBA-4C21-B2AE-5B176D3AD92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2026-05-10T14:53:18Z</dcterms:created>
  <dcterms:modified xsi:type="dcterms:W3CDTF">2026-05-10T14:53:18Z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